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ml.chartshapes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ml.chartshapes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9.xml" ContentType="application/vnd.openxmlformats-officedocument.drawingml.chartshapes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ml.chartshapes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1.xml" ContentType="application/vnd.openxmlformats-officedocument.drawingml.chartshapes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tKumar\Desktop\"/>
    </mc:Choice>
  </mc:AlternateContent>
  <xr:revisionPtr revIDLastSave="0" documentId="13_ncr:1_{F6A6691F-10BB-4FB5-8166-C1540E3545A1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Raw Data" sheetId="5" r:id="rId1"/>
    <sheet name="Main Data" sheetId="2" r:id="rId2"/>
    <sheet name="Question 1" sheetId="3" r:id="rId3"/>
    <sheet name="Question 2" sheetId="4" r:id="rId4"/>
    <sheet name="Question 3" sheetId="6" r:id="rId5"/>
    <sheet name="Question 4" sheetId="7" r:id="rId6"/>
    <sheet name="Question 5" sheetId="8" r:id="rId7"/>
    <sheet name="Insight" sheetId="9" r:id="rId8"/>
  </sheets>
  <definedNames>
    <definedName name="_xlnm._FilterDatabase" localSheetId="1" hidden="1">'Main Data'!$A$1:$AE$373</definedName>
    <definedName name="_xlnm._FilterDatabase" localSheetId="3" hidden="1">'Question 2'!$AG$2:$AK$10</definedName>
    <definedName name="_xlnm._FilterDatabase" localSheetId="6" hidden="1">'Question 5'!$K$9:$AQ$84</definedName>
    <definedName name="_xlnm._FilterDatabase" localSheetId="0" hidden="1">'Raw Data'!$A$1:$AD$373</definedName>
    <definedName name="_xlchart.v1.0" hidden="1">'Question 3'!$S$21:$S$32</definedName>
    <definedName name="_xlchart.v1.1" hidden="1">'Question 3'!$T$19</definedName>
    <definedName name="_xlchart.v1.2" hidden="1">'Question 3'!$T$21:$T$32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9" l="1"/>
  <c r="D4" i="9"/>
  <c r="D5" i="9"/>
  <c r="D6" i="9"/>
  <c r="D7" i="9"/>
  <c r="D8" i="9"/>
  <c r="D9" i="9"/>
  <c r="D10" i="9"/>
  <c r="D11" i="9"/>
  <c r="D12" i="9"/>
  <c r="D2" i="9"/>
  <c r="AF17" i="6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11" i="8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2" i="2"/>
  <c r="AD3" i="6" s="1"/>
  <c r="R3" i="3"/>
  <c r="R4" i="3"/>
  <c r="R5" i="3"/>
  <c r="R6" i="3"/>
  <c r="R7" i="3"/>
  <c r="R8" i="3"/>
  <c r="R2" i="3"/>
  <c r="Q3" i="3"/>
  <c r="Q4" i="3"/>
  <c r="Q5" i="3"/>
  <c r="Q6" i="3"/>
  <c r="Q7" i="3"/>
  <c r="Q8" i="3"/>
  <c r="Q2" i="3"/>
  <c r="P3" i="3"/>
  <c r="P4" i="3"/>
  <c r="P5" i="3"/>
  <c r="P6" i="3"/>
  <c r="P7" i="3"/>
  <c r="P8" i="3"/>
  <c r="P2" i="3"/>
  <c r="U3" i="6" l="1"/>
  <c r="AC3" i="6"/>
  <c r="W3" i="6"/>
  <c r="AE3" i="6"/>
  <c r="X3" i="6"/>
  <c r="Y3" i="6"/>
  <c r="Z3" i="6"/>
  <c r="AA3" i="6"/>
  <c r="T3" i="6"/>
  <c r="AB3" i="6"/>
  <c r="V3" i="6"/>
  <c r="AH6" i="4"/>
  <c r="AH25" i="4"/>
  <c r="AH17" i="4"/>
  <c r="AN23" i="4"/>
  <c r="AN15" i="4"/>
  <c r="AN7" i="4"/>
  <c r="AO25" i="4"/>
  <c r="AO17" i="4"/>
  <c r="AO9" i="4"/>
  <c r="T15" i="6"/>
  <c r="T7" i="6"/>
  <c r="Z16" i="6"/>
  <c r="AJ9" i="6" s="1"/>
  <c r="AC15" i="6"/>
  <c r="U15" i="6"/>
  <c r="X14" i="6"/>
  <c r="AA13" i="6"/>
  <c r="AD12" i="6"/>
  <c r="V12" i="6"/>
  <c r="Y11" i="6"/>
  <c r="AB10" i="6"/>
  <c r="AE9" i="6"/>
  <c r="W9" i="6"/>
  <c r="Z8" i="6"/>
  <c r="AC7" i="6"/>
  <c r="U7" i="6"/>
  <c r="X6" i="6"/>
  <c r="AA5" i="6"/>
  <c r="AI10" i="6" s="1"/>
  <c r="AD4" i="6"/>
  <c r="V4" i="6"/>
  <c r="AR3" i="7"/>
  <c r="AQ9" i="7"/>
  <c r="AR13" i="7"/>
  <c r="BD7" i="7"/>
  <c r="BC11" i="7"/>
  <c r="BD15" i="7"/>
  <c r="BD19" i="7"/>
  <c r="BC31" i="7"/>
  <c r="BD29" i="7"/>
  <c r="BI3" i="7"/>
  <c r="BH15" i="7"/>
  <c r="BI13" i="7"/>
  <c r="BI19" i="7"/>
  <c r="BH31" i="7"/>
  <c r="BI29" i="7"/>
  <c r="BM3" i="7"/>
  <c r="BN7" i="7"/>
  <c r="BM13" i="7"/>
  <c r="BM19" i="7"/>
  <c r="BN23" i="7"/>
  <c r="BM29" i="7"/>
  <c r="AH24" i="4"/>
  <c r="AH16" i="4"/>
  <c r="AN22" i="4"/>
  <c r="AN14" i="4"/>
  <c r="AN6" i="4"/>
  <c r="AO24" i="4"/>
  <c r="AO16" i="4"/>
  <c r="AO8" i="4"/>
  <c r="T14" i="6"/>
  <c r="T6" i="6"/>
  <c r="Y16" i="6"/>
  <c r="AJ8" i="6" s="1"/>
  <c r="AB15" i="6"/>
  <c r="AE14" i="6"/>
  <c r="W14" i="6"/>
  <c r="Z13" i="6"/>
  <c r="AC12" i="6"/>
  <c r="U12" i="6"/>
  <c r="X11" i="6"/>
  <c r="AA10" i="6"/>
  <c r="AD9" i="6"/>
  <c r="V9" i="6"/>
  <c r="Y8" i="6"/>
  <c r="AB7" i="6"/>
  <c r="AE6" i="6"/>
  <c r="W6" i="6"/>
  <c r="Z5" i="6"/>
  <c r="AI9" i="6" s="1"/>
  <c r="AC4" i="6"/>
  <c r="U4" i="6"/>
  <c r="AR4" i="7"/>
  <c r="AR9" i="7"/>
  <c r="AR14" i="7"/>
  <c r="BD6" i="7"/>
  <c r="BC16" i="7"/>
  <c r="BD14" i="7"/>
  <c r="BD24" i="7"/>
  <c r="BC30" i="7"/>
  <c r="BD28" i="7"/>
  <c r="BI8" i="7"/>
  <c r="BH14" i="7"/>
  <c r="BI12" i="7"/>
  <c r="BI24" i="7"/>
  <c r="BH30" i="7"/>
  <c r="BI28" i="7"/>
  <c r="BM8" i="7"/>
  <c r="BN6" i="7"/>
  <c r="BM12" i="7"/>
  <c r="BM24" i="7"/>
  <c r="BN22" i="7"/>
  <c r="BM28" i="7"/>
  <c r="AH23" i="4"/>
  <c r="AN3" i="4"/>
  <c r="AN21" i="4"/>
  <c r="AN13" i="4"/>
  <c r="AN5" i="4"/>
  <c r="AO23" i="4"/>
  <c r="AO15" i="4"/>
  <c r="AO7" i="4"/>
  <c r="T13" i="6"/>
  <c r="T4" i="6"/>
  <c r="X16" i="6"/>
  <c r="AJ7" i="6" s="1"/>
  <c r="AA15" i="6"/>
  <c r="AD14" i="6"/>
  <c r="V14" i="6"/>
  <c r="Y13" i="6"/>
  <c r="AB12" i="6"/>
  <c r="AE11" i="6"/>
  <c r="W11" i="6"/>
  <c r="Z10" i="6"/>
  <c r="AC9" i="6"/>
  <c r="U9" i="6"/>
  <c r="X8" i="6"/>
  <c r="AA7" i="6"/>
  <c r="AD6" i="6"/>
  <c r="V6" i="6"/>
  <c r="Y5" i="6"/>
  <c r="AI8" i="6" s="1"/>
  <c r="AB4" i="6"/>
  <c r="AW4" i="7"/>
  <c r="AW8" i="7"/>
  <c r="AW13" i="7"/>
  <c r="BD5" i="7"/>
  <c r="BC8" i="7"/>
  <c r="BC15" i="7"/>
  <c r="BD13" i="7"/>
  <c r="BC20" i="7"/>
  <c r="BD23" i="7"/>
  <c r="BC29" i="7"/>
  <c r="BH8" i="7"/>
  <c r="BI7" i="7"/>
  <c r="BH13" i="7"/>
  <c r="BH19" i="7"/>
  <c r="BI23" i="7"/>
  <c r="BH29" i="7"/>
  <c r="BM7" i="7"/>
  <c r="BO7" i="7" s="1"/>
  <c r="BN5" i="7"/>
  <c r="BN11" i="7"/>
  <c r="BM23" i="7"/>
  <c r="BO23" i="7" s="1"/>
  <c r="BN21" i="7"/>
  <c r="BN27" i="7"/>
  <c r="AH22" i="4"/>
  <c r="AN28" i="4"/>
  <c r="AN20" i="4"/>
  <c r="AN12" i="4"/>
  <c r="AN4" i="4"/>
  <c r="AO22" i="4"/>
  <c r="AO14" i="4"/>
  <c r="AO6" i="4"/>
  <c r="T12" i="6"/>
  <c r="AE16" i="6"/>
  <c r="AJ13" i="6" s="1"/>
  <c r="W16" i="6"/>
  <c r="AJ6" i="6" s="1"/>
  <c r="Z15" i="6"/>
  <c r="AC14" i="6"/>
  <c r="U14" i="6"/>
  <c r="X13" i="6"/>
  <c r="AA12" i="6"/>
  <c r="AD11" i="6"/>
  <c r="V11" i="6"/>
  <c r="Y10" i="6"/>
  <c r="AB9" i="6"/>
  <c r="AE8" i="6"/>
  <c r="W8" i="6"/>
  <c r="Z7" i="6"/>
  <c r="AC6" i="6"/>
  <c r="U6" i="6"/>
  <c r="X5" i="6"/>
  <c r="AI7" i="6" s="1"/>
  <c r="AA4" i="6"/>
  <c r="AX3" i="7"/>
  <c r="AW9" i="7"/>
  <c r="AW14" i="7"/>
  <c r="BD4" i="7"/>
  <c r="BC7" i="7"/>
  <c r="BC14" i="7"/>
  <c r="BD12" i="7"/>
  <c r="BC24" i="7"/>
  <c r="BD22" i="7"/>
  <c r="BC28" i="7"/>
  <c r="BH7" i="7"/>
  <c r="BI6" i="7"/>
  <c r="BH12" i="7"/>
  <c r="BH24" i="7"/>
  <c r="BI22" i="7"/>
  <c r="BH28" i="7"/>
  <c r="BM6" i="7"/>
  <c r="BN4" i="7"/>
  <c r="BN16" i="7"/>
  <c r="BM22" i="7"/>
  <c r="BN20" i="7"/>
  <c r="BN32" i="7"/>
  <c r="AH21" i="4"/>
  <c r="AN27" i="4"/>
  <c r="AN19" i="4"/>
  <c r="AN11" i="4"/>
  <c r="AO3" i="4"/>
  <c r="AO21" i="4"/>
  <c r="AO13" i="4"/>
  <c r="AO5" i="4"/>
  <c r="T11" i="6"/>
  <c r="AD16" i="6"/>
  <c r="V16" i="6"/>
  <c r="AJ5" i="6" s="1"/>
  <c r="Y15" i="6"/>
  <c r="AB14" i="6"/>
  <c r="AE13" i="6"/>
  <c r="W13" i="6"/>
  <c r="Z12" i="6"/>
  <c r="AC11" i="6"/>
  <c r="U11" i="6"/>
  <c r="X10" i="6"/>
  <c r="AA9" i="6"/>
  <c r="AD8" i="6"/>
  <c r="V8" i="6"/>
  <c r="Y7" i="6"/>
  <c r="AB6" i="6"/>
  <c r="AE5" i="6"/>
  <c r="AI13" i="6" s="1"/>
  <c r="W5" i="6"/>
  <c r="AI6" i="6" s="1"/>
  <c r="Z4" i="6"/>
  <c r="AX4" i="7"/>
  <c r="AX8" i="7"/>
  <c r="AX13" i="7"/>
  <c r="AY13" i="7" s="1"/>
  <c r="BC6" i="7"/>
  <c r="BC13" i="7"/>
  <c r="BC23" i="7"/>
  <c r="BD21" i="7"/>
  <c r="BD27" i="7"/>
  <c r="BH6" i="7"/>
  <c r="BJ6" i="7" s="1"/>
  <c r="BI5" i="7"/>
  <c r="BI11" i="7"/>
  <c r="BH23" i="7"/>
  <c r="BI21" i="7"/>
  <c r="BI27" i="7"/>
  <c r="BM5" i="7"/>
  <c r="BM11" i="7"/>
  <c r="BO11" i="7" s="1"/>
  <c r="BN15" i="7"/>
  <c r="BM21" i="7"/>
  <c r="BO21" i="7" s="1"/>
  <c r="BM27" i="7"/>
  <c r="BO27" i="7" s="1"/>
  <c r="BN31" i="7"/>
  <c r="AH20" i="4"/>
  <c r="AN26" i="4"/>
  <c r="AN18" i="4"/>
  <c r="AN10" i="4"/>
  <c r="AO28" i="4"/>
  <c r="AP28" i="4" s="1"/>
  <c r="AQ28" i="4" s="1"/>
  <c r="AO20" i="4"/>
  <c r="AO12" i="4"/>
  <c r="AO4" i="4"/>
  <c r="T10" i="6"/>
  <c r="AC16" i="6"/>
  <c r="AJ12" i="6" s="1"/>
  <c r="U16" i="6"/>
  <c r="AJ4" i="6" s="1"/>
  <c r="X15" i="6"/>
  <c r="AA14" i="6"/>
  <c r="AD13" i="6"/>
  <c r="V13" i="6"/>
  <c r="Y12" i="6"/>
  <c r="AB11" i="6"/>
  <c r="AE10" i="6"/>
  <c r="W10" i="6"/>
  <c r="Z9" i="6"/>
  <c r="AC8" i="6"/>
  <c r="U8" i="6"/>
  <c r="X7" i="6"/>
  <c r="AA6" i="6"/>
  <c r="AD5" i="6"/>
  <c r="V5" i="6"/>
  <c r="AI5" i="6" s="1"/>
  <c r="Y4" i="6"/>
  <c r="AW3" i="7"/>
  <c r="AX9" i="7"/>
  <c r="AY9" i="7" s="1"/>
  <c r="AX14" i="7"/>
  <c r="AY14" i="7" s="1"/>
  <c r="BC5" i="7"/>
  <c r="BC12" i="7"/>
  <c r="BC22" i="7"/>
  <c r="BD20" i="7"/>
  <c r="BE20" i="7" s="1"/>
  <c r="BD32" i="7"/>
  <c r="BH5" i="7"/>
  <c r="BJ5" i="7" s="1"/>
  <c r="BI4" i="7"/>
  <c r="BI16" i="7"/>
  <c r="BH22" i="7"/>
  <c r="BI20" i="7"/>
  <c r="BI32" i="7"/>
  <c r="BM4" i="7"/>
  <c r="BM16" i="7"/>
  <c r="BN14" i="7"/>
  <c r="BM20" i="7"/>
  <c r="BM32" i="7"/>
  <c r="BN30" i="7"/>
  <c r="AH19" i="4"/>
  <c r="AN25" i="4"/>
  <c r="AN17" i="4"/>
  <c r="AN9" i="4"/>
  <c r="AP9" i="4" s="1"/>
  <c r="AQ9" i="4" s="1"/>
  <c r="AO27" i="4"/>
  <c r="AO19" i="4"/>
  <c r="AO11" i="4"/>
  <c r="T5" i="6"/>
  <c r="T9" i="6"/>
  <c r="AB16" i="6"/>
  <c r="AJ11" i="6" s="1"/>
  <c r="AE15" i="6"/>
  <c r="W15" i="6"/>
  <c r="Z14" i="6"/>
  <c r="AC13" i="6"/>
  <c r="U13" i="6"/>
  <c r="X12" i="6"/>
  <c r="AA11" i="6"/>
  <c r="AD10" i="6"/>
  <c r="V10" i="6"/>
  <c r="Y9" i="6"/>
  <c r="AB8" i="6"/>
  <c r="AE7" i="6"/>
  <c r="W7" i="6"/>
  <c r="Z6" i="6"/>
  <c r="AC5" i="6"/>
  <c r="AI12" i="6" s="1"/>
  <c r="U5" i="6"/>
  <c r="AI4" i="6" s="1"/>
  <c r="X4" i="6"/>
  <c r="AQ3" i="7"/>
  <c r="AQ8" i="7"/>
  <c r="AQ13" i="7"/>
  <c r="BD3" i="7"/>
  <c r="BC4" i="7"/>
  <c r="BD11" i="7"/>
  <c r="BC21" i="7"/>
  <c r="BC27" i="7"/>
  <c r="BD31" i="7"/>
  <c r="BH4" i="7"/>
  <c r="BH11" i="7"/>
  <c r="BJ11" i="7" s="1"/>
  <c r="BI15" i="7"/>
  <c r="BH21" i="7"/>
  <c r="BH27" i="7"/>
  <c r="BI31" i="7"/>
  <c r="BJ31" i="7" s="1"/>
  <c r="BN3" i="7"/>
  <c r="BO3" i="7" s="1"/>
  <c r="BM15" i="7"/>
  <c r="BN13" i="7"/>
  <c r="BN19" i="7"/>
  <c r="BM31" i="7"/>
  <c r="BN29" i="7"/>
  <c r="AH15" i="4"/>
  <c r="AH18" i="4"/>
  <c r="AI18" i="4" s="1"/>
  <c r="AN24" i="4"/>
  <c r="AN16" i="4"/>
  <c r="AP16" i="4" s="1"/>
  <c r="AQ16" i="4" s="1"/>
  <c r="AN8" i="4"/>
  <c r="AO26" i="4"/>
  <c r="AP26" i="4" s="1"/>
  <c r="AQ26" i="4" s="1"/>
  <c r="AO18" i="4"/>
  <c r="AO10" i="4"/>
  <c r="T16" i="6"/>
  <c r="T8" i="6"/>
  <c r="AA16" i="6"/>
  <c r="AJ10" i="6" s="1"/>
  <c r="AK10" i="6" s="1"/>
  <c r="AD15" i="6"/>
  <c r="V15" i="6"/>
  <c r="Y14" i="6"/>
  <c r="AB13" i="6"/>
  <c r="AE12" i="6"/>
  <c r="W12" i="6"/>
  <c r="Z11" i="6"/>
  <c r="AC10" i="6"/>
  <c r="U10" i="6"/>
  <c r="X9" i="6"/>
  <c r="AA8" i="6"/>
  <c r="AD7" i="6"/>
  <c r="V7" i="6"/>
  <c r="Y6" i="6"/>
  <c r="AB5" i="6"/>
  <c r="AI11" i="6" s="1"/>
  <c r="AE4" i="6"/>
  <c r="W4" i="6"/>
  <c r="AQ4" i="7"/>
  <c r="AR8" i="7"/>
  <c r="AQ14" i="7"/>
  <c r="AS14" i="7" s="1"/>
  <c r="BD8" i="7"/>
  <c r="BE8" i="7" s="1"/>
  <c r="BC3" i="7"/>
  <c r="BD16" i="7"/>
  <c r="BE16" i="7" s="1"/>
  <c r="BC19" i="7"/>
  <c r="BE19" i="7" s="1"/>
  <c r="BC32" i="7"/>
  <c r="BD30" i="7"/>
  <c r="BE30" i="7" s="1"/>
  <c r="BH3" i="7"/>
  <c r="BH16" i="7"/>
  <c r="BJ16" i="7" s="1"/>
  <c r="BI14" i="7"/>
  <c r="BJ14" i="7" s="1"/>
  <c r="BH20" i="7"/>
  <c r="BJ20" i="7" s="1"/>
  <c r="BH32" i="7"/>
  <c r="BJ32" i="7" s="1"/>
  <c r="BI30" i="7"/>
  <c r="BJ30" i="7" s="1"/>
  <c r="BN8" i="7"/>
  <c r="BO8" i="7" s="1"/>
  <c r="BM14" i="7"/>
  <c r="BN12" i="7"/>
  <c r="BN24" i="7"/>
  <c r="BO24" i="7" s="1"/>
  <c r="BM30" i="7"/>
  <c r="BN28" i="7"/>
  <c r="BO28" i="7" s="1"/>
  <c r="BO22" i="7"/>
  <c r="BJ27" i="7"/>
  <c r="BJ29" i="7"/>
  <c r="BJ13" i="7"/>
  <c r="AP23" i="4"/>
  <c r="AQ23" i="4" s="1"/>
  <c r="AP7" i="4"/>
  <c r="AQ7" i="4" s="1"/>
  <c r="AP11" i="4"/>
  <c r="AQ11" i="4" s="1"/>
  <c r="AP14" i="4"/>
  <c r="AQ14" i="4" s="1"/>
  <c r="AP21" i="4"/>
  <c r="AQ21" i="4" s="1"/>
  <c r="AP4" i="4"/>
  <c r="AQ4" i="4" s="1"/>
  <c r="AP17" i="4"/>
  <c r="AQ17" i="4" s="1"/>
  <c r="AI4" i="4"/>
  <c r="AH5" i="4"/>
  <c r="AH4" i="4"/>
  <c r="AH3" i="4"/>
  <c r="AI3" i="4"/>
  <c r="AH9" i="4"/>
  <c r="AI9" i="4"/>
  <c r="AH8" i="4"/>
  <c r="AI8" i="4"/>
  <c r="AH7" i="4"/>
  <c r="AI6" i="4"/>
  <c r="AJ6" i="4" s="1"/>
  <c r="AI5" i="4"/>
  <c r="AI7" i="4"/>
  <c r="R9" i="3"/>
  <c r="U8" i="3" s="1"/>
  <c r="P9" i="3"/>
  <c r="S6" i="3" s="1"/>
  <c r="U3" i="3"/>
  <c r="U6" i="3"/>
  <c r="S7" i="3"/>
  <c r="T6" i="3"/>
  <c r="Q9" i="3"/>
  <c r="T4" i="3" s="1"/>
  <c r="AP3" i="4" l="1"/>
  <c r="AQ3" i="4" s="1"/>
  <c r="AP22" i="4"/>
  <c r="AQ22" i="4" s="1"/>
  <c r="AP15" i="4"/>
  <c r="AQ15" i="4" s="1"/>
  <c r="AP10" i="4"/>
  <c r="AQ10" i="4" s="1"/>
  <c r="BE31" i="7"/>
  <c r="BJ28" i="7"/>
  <c r="BE24" i="7"/>
  <c r="AF3" i="6"/>
  <c r="AP19" i="4"/>
  <c r="AQ19" i="4" s="1"/>
  <c r="BO32" i="7"/>
  <c r="AP5" i="4"/>
  <c r="AQ5" i="4" s="1"/>
  <c r="BE22" i="7"/>
  <c r="AY3" i="7"/>
  <c r="BO15" i="7"/>
  <c r="AP24" i="4"/>
  <c r="AQ24" i="4" s="1"/>
  <c r="BJ15" i="7"/>
  <c r="AY8" i="7"/>
  <c r="BO12" i="7"/>
  <c r="AS8" i="7"/>
  <c r="BO19" i="7"/>
  <c r="AJ4" i="4"/>
  <c r="AP18" i="4"/>
  <c r="AQ18" i="4" s="1"/>
  <c r="BO14" i="7"/>
  <c r="BE27" i="7"/>
  <c r="AP12" i="4"/>
  <c r="AQ12" i="4" s="1"/>
  <c r="AK4" i="6"/>
  <c r="BE21" i="7"/>
  <c r="AP27" i="4"/>
  <c r="AQ27" i="4" s="1"/>
  <c r="BE23" i="7"/>
  <c r="AY4" i="7"/>
  <c r="AP13" i="4"/>
  <c r="AQ13" i="4" s="1"/>
  <c r="BO6" i="7"/>
  <c r="BE28" i="7"/>
  <c r="AS4" i="7"/>
  <c r="AP6" i="4"/>
  <c r="AQ6" i="4" s="1"/>
  <c r="AS9" i="7"/>
  <c r="AP25" i="4"/>
  <c r="AQ25" i="4" s="1"/>
  <c r="BJ22" i="7"/>
  <c r="BE29" i="7"/>
  <c r="BJ21" i="7"/>
  <c r="AJ7" i="4"/>
  <c r="BE3" i="7"/>
  <c r="BJ7" i="7"/>
  <c r="BJ12" i="7"/>
  <c r="AP8" i="4"/>
  <c r="AQ8" i="4" s="1"/>
  <c r="BJ19" i="7"/>
  <c r="AJ5" i="4"/>
  <c r="BE32" i="7"/>
  <c r="AP20" i="4"/>
  <c r="AQ20" i="4" s="1"/>
  <c r="BJ3" i="7"/>
  <c r="BE11" i="7"/>
  <c r="BO29" i="7"/>
  <c r="AJ8" i="4"/>
  <c r="BO13" i="7"/>
  <c r="AK5" i="6"/>
  <c r="BO5" i="7"/>
  <c r="BJ8" i="7"/>
  <c r="AS13" i="7"/>
  <c r="AK12" i="6"/>
  <c r="AF11" i="6"/>
  <c r="AI21" i="4"/>
  <c r="BE12" i="7"/>
  <c r="AK13" i="6"/>
  <c r="AK7" i="6"/>
  <c r="AS3" i="7"/>
  <c r="AK6" i="6"/>
  <c r="AF8" i="6"/>
  <c r="AK11" i="6"/>
  <c r="AF10" i="6"/>
  <c r="AI20" i="4"/>
  <c r="AF12" i="6"/>
  <c r="T28" i="6" s="1"/>
  <c r="AI22" i="4"/>
  <c r="BJ23" i="7"/>
  <c r="BE13" i="7"/>
  <c r="AF4" i="6"/>
  <c r="AK8" i="6"/>
  <c r="AJ3" i="4"/>
  <c r="AJ3" i="6"/>
  <c r="AF16" i="6"/>
  <c r="AF9" i="6"/>
  <c r="T25" i="6" s="1"/>
  <c r="AI19" i="4"/>
  <c r="BO31" i="7"/>
  <c r="BO20" i="7"/>
  <c r="AF13" i="6"/>
  <c r="AI23" i="4"/>
  <c r="BE14" i="7"/>
  <c r="AF6" i="6"/>
  <c r="AI16" i="4"/>
  <c r="AK9" i="6"/>
  <c r="AF5" i="6"/>
  <c r="AI3" i="6"/>
  <c r="BO30" i="7"/>
  <c r="BE4" i="7"/>
  <c r="BJ24" i="7"/>
  <c r="AF14" i="6"/>
  <c r="T30" i="6" s="1"/>
  <c r="AI24" i="4"/>
  <c r="BE15" i="7"/>
  <c r="AF7" i="6"/>
  <c r="AI17" i="4"/>
  <c r="BO16" i="7"/>
  <c r="BE5" i="7"/>
  <c r="BE6" i="7"/>
  <c r="AF15" i="6"/>
  <c r="T31" i="6" s="1"/>
  <c r="AI25" i="4"/>
  <c r="BJ4" i="7"/>
  <c r="BO4" i="7"/>
  <c r="BE7" i="7"/>
  <c r="U2" i="3"/>
  <c r="U7" i="3"/>
  <c r="S3" i="3"/>
  <c r="S5" i="3"/>
  <c r="U4" i="3"/>
  <c r="T3" i="3"/>
  <c r="T9" i="3" s="1"/>
  <c r="S2" i="3"/>
  <c r="S8" i="3"/>
  <c r="T2" i="3"/>
  <c r="S4" i="3"/>
  <c r="U5" i="3"/>
  <c r="S9" i="3"/>
  <c r="U9" i="3"/>
  <c r="T7" i="3"/>
  <c r="T5" i="3"/>
  <c r="T8" i="3"/>
  <c r="T22" i="6" l="1"/>
  <c r="T32" i="6"/>
  <c r="T26" i="6"/>
  <c r="T29" i="6"/>
  <c r="T27" i="6"/>
  <c r="T20" i="6"/>
  <c r="T24" i="6"/>
  <c r="T23" i="6"/>
  <c r="T21" i="6"/>
  <c r="AI26" i="4"/>
  <c r="AK3" i="6"/>
  <c r="AJ10" i="4"/>
</calcChain>
</file>

<file path=xl/sharedStrings.xml><?xml version="1.0" encoding="utf-8"?>
<sst xmlns="http://schemas.openxmlformats.org/spreadsheetml/2006/main" count="2564" uniqueCount="151">
  <si>
    <t>Sector</t>
  </si>
  <si>
    <t>Year</t>
  </si>
  <si>
    <t>Month</t>
  </si>
  <si>
    <t>Food and beverages</t>
  </si>
  <si>
    <t>Pan, tobacco and intoxicants</t>
  </si>
  <si>
    <t>Clothing and footwear</t>
  </si>
  <si>
    <t>Household goods and services</t>
  </si>
  <si>
    <t>Fuel and light</t>
  </si>
  <si>
    <t>Miscellaneous</t>
  </si>
  <si>
    <t>Rural</t>
  </si>
  <si>
    <t>January</t>
  </si>
  <si>
    <t>Urban</t>
  </si>
  <si>
    <t>Rural+Urban</t>
  </si>
  <si>
    <t>February</t>
  </si>
  <si>
    <t>May</t>
  </si>
  <si>
    <t>March</t>
  </si>
  <si>
    <t>April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</si>
  <si>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</si>
  <si>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</si>
  <si>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</si>
  <si>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</si>
  <si>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</si>
  <si>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</si>
  <si>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</si>
  <si>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</si>
  <si>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</si>
  <si>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NA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</si>
  <si>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</si>
  <si>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</si>
  <si>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</si>
  <si>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</si>
  <si>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</si>
  <si>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</si>
  <si>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</si>
  <si>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</si>
  <si>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</si>
  <si>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</si>
  <si>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</si>
  <si>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</si>
  <si>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Clothing</t>
  </si>
  <si>
    <t>Footwear</t>
  </si>
  <si>
    <t>Housing</t>
  </si>
  <si>
    <t>Health</t>
  </si>
  <si>
    <t>Transport and communication</t>
  </si>
  <si>
    <t>Recreation and amusement</t>
  </si>
  <si>
    <t>Education</t>
  </si>
  <si>
    <t>Personal care and effects</t>
  </si>
  <si>
    <t>General index</t>
  </si>
  <si>
    <t>-</t>
  </si>
  <si>
    <t>New Category</t>
  </si>
  <si>
    <t>Food</t>
  </si>
  <si>
    <t>Luxury</t>
  </si>
  <si>
    <t>Service</t>
  </si>
  <si>
    <t>New Category Group</t>
  </si>
  <si>
    <t>Fuel and Light</t>
  </si>
  <si>
    <t>Both</t>
  </si>
  <si>
    <t>Coloum</t>
  </si>
  <si>
    <t>Rural (%)</t>
  </si>
  <si>
    <t>Urban (%)</t>
  </si>
  <si>
    <t>Both (%)</t>
  </si>
  <si>
    <t>Total</t>
  </si>
  <si>
    <t>On the bases of border categories we can say that the Food Categories has the highly contribution towards CPI Calcution</t>
  </si>
  <si>
    <t>Inflation</t>
  </si>
  <si>
    <t>Key</t>
  </si>
  <si>
    <t xml:space="preserve">According to this graph in 2019 had higher inflation rate </t>
  </si>
  <si>
    <t>Inflation Rate</t>
  </si>
  <si>
    <t>On year 2019 Inflation reason on the base of bucket we created in previous Question</t>
  </si>
  <si>
    <t xml:space="preserve">Inflation </t>
  </si>
  <si>
    <t>In 2019 on December had High Inflation Rate</t>
  </si>
  <si>
    <t>Inflation Difference</t>
  </si>
  <si>
    <t>Inflation Difference (%)</t>
  </si>
  <si>
    <t>Time duration/ Time Frame</t>
  </si>
  <si>
    <t>June 2022 to may 2023</t>
  </si>
  <si>
    <t>In Food Bucket</t>
  </si>
  <si>
    <t>Food Bucket Category</t>
  </si>
  <si>
    <t>2022JuneRural+Urban</t>
  </si>
  <si>
    <t>2022JulyRural+Urban</t>
  </si>
  <si>
    <t>2022AugustRural+Urban</t>
  </si>
  <si>
    <t>2022SeptemberRural+Urban</t>
  </si>
  <si>
    <t>2022OctoberRural+Urban</t>
  </si>
  <si>
    <t>2022NovemberRural+Urban</t>
  </si>
  <si>
    <t>2022DecemberRural+Urban</t>
  </si>
  <si>
    <t>2023JanuaryRural+Urban</t>
  </si>
  <si>
    <t>2023FebruaryRural+Urban</t>
  </si>
  <si>
    <t>2023MarchRural+Urban</t>
  </si>
  <si>
    <t>2023AprilRural+Urban</t>
  </si>
  <si>
    <t>2023MayRural+Urban</t>
  </si>
  <si>
    <t>2022MayRural+Urban</t>
  </si>
  <si>
    <t>Food Inflation</t>
  </si>
  <si>
    <t>High</t>
  </si>
  <si>
    <t>Low</t>
  </si>
  <si>
    <t>YOY Inflation</t>
  </si>
  <si>
    <t>YoY</t>
  </si>
  <si>
    <t>Inflation before Covid-19 in Rural</t>
  </si>
  <si>
    <t xml:space="preserve">for not getting error we assume that the april index value is same as march </t>
  </si>
  <si>
    <t xml:space="preserve">Urban After Covid-19 in Rural </t>
  </si>
  <si>
    <t>Inflation Before Covid-19 in Urban</t>
  </si>
  <si>
    <t>Inflation After Covid-19 in Urban</t>
  </si>
  <si>
    <t>Inflation Before Covid-19 in Rural+Urban</t>
  </si>
  <si>
    <t>Before</t>
  </si>
  <si>
    <t>After</t>
  </si>
  <si>
    <t>2018-2019</t>
  </si>
  <si>
    <t>2019-2020</t>
  </si>
  <si>
    <t>2020-2021</t>
  </si>
  <si>
    <t>2021-2022</t>
  </si>
  <si>
    <t>Category</t>
  </si>
  <si>
    <t>2018-2019 Rural</t>
  </si>
  <si>
    <t>2019-2020 Rural</t>
  </si>
  <si>
    <t>2020-2021 Rural</t>
  </si>
  <si>
    <t>2021-2022 Rural</t>
  </si>
  <si>
    <t>2018-2019 Urban</t>
  </si>
  <si>
    <t>2019-2020 Urban</t>
  </si>
  <si>
    <t>2020-2021 Urban</t>
  </si>
  <si>
    <t>2021-2022 Urban</t>
  </si>
  <si>
    <t>2018-2019 Rural+Urban</t>
  </si>
  <si>
    <t>2019-2020 Rural+Urban</t>
  </si>
  <si>
    <t>Price (USD/barrel)</t>
  </si>
  <si>
    <t>Month-Year</t>
  </si>
  <si>
    <t>December-2020</t>
  </si>
  <si>
    <t>January-2021</t>
  </si>
  <si>
    <t>February-2021</t>
  </si>
  <si>
    <t>March-2021</t>
  </si>
  <si>
    <t>April-2021</t>
  </si>
  <si>
    <t>May-2021</t>
  </si>
  <si>
    <t>June-2021</t>
  </si>
  <si>
    <t>July-2021</t>
  </si>
  <si>
    <t>August-2021</t>
  </si>
  <si>
    <t>September-2021</t>
  </si>
  <si>
    <t>October-2021</t>
  </si>
  <si>
    <t>November-2021</t>
  </si>
  <si>
    <t>December-2021</t>
  </si>
  <si>
    <t>January-2022</t>
  </si>
  <si>
    <t>February-2022</t>
  </si>
  <si>
    <t>March-2022</t>
  </si>
  <si>
    <t>April-2022</t>
  </si>
  <si>
    <t>May-2022</t>
  </si>
  <si>
    <t>June-2022</t>
  </si>
  <si>
    <t>July-2022</t>
  </si>
  <si>
    <t>August-2022</t>
  </si>
  <si>
    <t>September-2022</t>
  </si>
  <si>
    <t>October-2022</t>
  </si>
  <si>
    <t>November-2022</t>
  </si>
  <si>
    <t>December-2022</t>
  </si>
  <si>
    <t>Co-Re</t>
  </si>
  <si>
    <t>Service and Education</t>
  </si>
  <si>
    <t>Miscekkaneous</t>
  </si>
  <si>
    <t>Meat and Fish price are highly dependent on the curde oil compare to the other categories.</t>
  </si>
  <si>
    <t>Insight</t>
  </si>
  <si>
    <t>2022AprilRural+Urban</t>
  </si>
  <si>
    <t>General Index</t>
  </si>
  <si>
    <t>According to the inflaction rate there is high inflation between 2019 to 2020 the reason we says is covid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</si>
</sst>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7" formatCode="0.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10" xfId="0" applyBorder="1"/>
    <xf numFmtId="9" fontId="0" fillId="0" borderId="10" xfId="42" applyFont="1" applyBorder="1"/>
    <xf numFmtId="0" fontId="0" fillId="0" borderId="10" xfId="0" applyBorder="1" applyAlignment="1">
      <alignment horizontal="center"/>
    </xf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/>
    <xf numFmtId="0" fontId="0" fillId="34" borderId="10" xfId="0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0" xfId="42" applyNumberFormat="1" applyFont="1" applyBorder="1" applyAlignment="1">
      <alignment horizontal="center"/>
    </xf>
    <xf numFmtId="0" fontId="19" fillId="0" borderId="0" xfId="0" applyFont="1"/>
    <xf numFmtId="164" fontId="0" fillId="0" borderId="0" xfId="0" applyNumberFormat="1" applyAlignment="1">
      <alignment horizontal="center"/>
    </xf>
    <xf numFmtId="1" fontId="0" fillId="0" borderId="10" xfId="42" applyNumberFormat="1" applyFont="1" applyBorder="1" applyAlignment="1">
      <alignment horizontal="center"/>
    </xf>
    <xf numFmtId="0" fontId="0" fillId="0" borderId="11" xfId="0" applyFill="1" applyBorder="1" applyAlignment="1">
      <alignment horizontal="left"/>
    </xf>
    <xf numFmtId="1" fontId="0" fillId="0" borderId="0" xfId="0" applyNumberFormat="1" applyAlignment="1">
      <alignment horizontal="center"/>
    </xf>
    <xf numFmtId="0" fontId="0" fillId="0" borderId="12" xfId="0" applyFill="1" applyBorder="1"/>
    <xf numFmtId="2" fontId="0" fillId="0" borderId="10" xfId="0" applyNumberFormat="1" applyBorder="1" applyAlignment="1">
      <alignment horizontal="center"/>
    </xf>
    <xf numFmtId="164" fontId="0" fillId="0" borderId="0" xfId="0" applyNumberFormat="1"/>
    <xf numFmtId="0" fontId="0" fillId="36" borderId="0" xfId="0" applyFill="1"/>
    <xf numFmtId="10" fontId="0" fillId="0" borderId="0" xfId="42" applyNumberFormat="1" applyFont="1"/>
    <xf numFmtId="2" fontId="0" fillId="0" borderId="0" xfId="42" applyNumberFormat="1" applyFont="1"/>
    <xf numFmtId="0" fontId="0" fillId="37" borderId="0" xfId="0" applyFill="1"/>
    <xf numFmtId="0" fontId="0" fillId="38" borderId="10" xfId="0" applyFill="1" applyBorder="1"/>
    <xf numFmtId="17" fontId="0" fillId="38" borderId="10" xfId="0" applyNumberFormat="1" applyFill="1" applyBorder="1"/>
    <xf numFmtId="0" fontId="0" fillId="37" borderId="10" xfId="0" applyFill="1" applyBorder="1"/>
    <xf numFmtId="0" fontId="0" fillId="36" borderId="10" xfId="0" applyFill="1" applyBorder="1"/>
    <xf numFmtId="0" fontId="0" fillId="0" borderId="10" xfId="0" applyFill="1" applyBorder="1"/>
    <xf numFmtId="0" fontId="0" fillId="0" borderId="0" xfId="0" applyBorder="1"/>
    <xf numFmtId="0" fontId="0" fillId="0" borderId="13" xfId="0" applyBorder="1"/>
    <xf numFmtId="0" fontId="0" fillId="0" borderId="14" xfId="0" applyBorder="1"/>
    <xf numFmtId="0" fontId="0" fillId="0" borderId="12" xfId="0" applyBorder="1"/>
    <xf numFmtId="0" fontId="0" fillId="0" borderId="15" xfId="0" applyBorder="1"/>
    <xf numFmtId="165" fontId="0" fillId="0" borderId="10" xfId="42" applyNumberFormat="1" applyFont="1" applyBorder="1"/>
    <xf numFmtId="0" fontId="0" fillId="0" borderId="10" xfId="0" applyBorder="1" applyAlignment="1">
      <alignment horizontal="center"/>
    </xf>
    <xf numFmtId="0" fontId="0" fillId="0" borderId="0" xfId="0" applyFill="1" applyBorder="1"/>
    <xf numFmtId="17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0" fontId="16" fillId="0" borderId="10" xfId="0" applyFont="1" applyBorder="1" applyAlignment="1">
      <alignment horizontal="center" vertical="center" wrapText="1"/>
    </xf>
    <xf numFmtId="17" fontId="16" fillId="0" borderId="10" xfId="0" applyNumberFormat="1" applyFont="1" applyBorder="1" applyAlignment="1">
      <alignment horizontal="right" vertical="center" wrapText="1"/>
    </xf>
    <xf numFmtId="17" fontId="0" fillId="0" borderId="10" xfId="0" applyNumberFormat="1" applyBorder="1" applyAlignment="1">
      <alignment vertical="center" wrapText="1"/>
    </xf>
    <xf numFmtId="0" fontId="16" fillId="0" borderId="10" xfId="0" applyFont="1" applyBorder="1" applyAlignment="1">
      <alignment horizontal="right" vertical="center" wrapText="1"/>
    </xf>
    <xf numFmtId="0" fontId="0" fillId="0" borderId="10" xfId="0" applyFill="1" applyBorder="1" applyAlignment="1">
      <alignment vertical="center"/>
    </xf>
    <xf numFmtId="17" fontId="0" fillId="0" borderId="0" xfId="0" applyNumberFormat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9" fontId="0" fillId="0" borderId="10" xfId="42" applyFont="1" applyBorder="1" applyAlignment="1">
      <alignment horizontal="center"/>
    </xf>
    <xf numFmtId="0" fontId="0" fillId="39" borderId="10" xfId="0" applyFill="1" applyBorder="1"/>
    <xf numFmtId="0" fontId="0" fillId="0" borderId="10" xfId="0" applyBorder="1" applyAlignment="1">
      <alignment horizontal="center"/>
    </xf>
    <xf numFmtId="0" fontId="16" fillId="36" borderId="10" xfId="0" applyFont="1" applyFill="1" applyBorder="1"/>
    <xf numFmtId="9" fontId="0" fillId="37" borderId="10" xfId="0" applyNumberFormat="1" applyFill="1" applyBorder="1"/>
    <xf numFmtId="2" fontId="0" fillId="0" borderId="10" xfId="42" applyNumberFormat="1" applyFont="1" applyBorder="1"/>
    <xf numFmtId="17" fontId="16" fillId="36" borderId="10" xfId="0" applyNumberFormat="1" applyFont="1" applyFill="1" applyBorder="1"/>
    <xf numFmtId="0" fontId="16" fillId="0" borderId="10" xfId="0" applyFont="1" applyBorder="1"/>
    <xf numFmtId="17" fontId="0" fillId="0" borderId="0" xfId="0" applyNumberFormat="1"/>
    <xf numFmtId="0" fontId="16" fillId="37" borderId="10" xfId="0" applyFont="1" applyFill="1" applyBorder="1"/>
    <xf numFmtId="0" fontId="16" fillId="38" borderId="10" xfId="0" applyFont="1" applyFill="1" applyBorder="1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6" fillId="36" borderId="10" xfId="0" applyFont="1" applyFill="1" applyBorder="1" applyAlignment="1">
      <alignment horizontal="center" vertical="center"/>
    </xf>
    <xf numFmtId="0" fontId="16" fillId="36" borderId="10" xfId="0" applyFont="1" applyFill="1" applyBorder="1" applyAlignment="1">
      <alignment horizontal="center"/>
    </xf>
    <xf numFmtId="0" fontId="18" fillId="35" borderId="0" xfId="0" applyFont="1" applyFill="1" applyAlignment="1">
      <alignment horizontal="center"/>
    </xf>
    <xf numFmtId="0" fontId="0" fillId="0" borderId="10" xfId="0" applyBorder="1" applyAlignment="1">
      <alignment horizontal="center"/>
    </xf>
    <xf numFmtId="0" fontId="21" fillId="39" borderId="0" xfId="0" applyFont="1" applyFill="1" applyAlignment="1">
      <alignment horizontal="center"/>
    </xf>
    <xf numFmtId="167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Rural </a:t>
            </a:r>
          </a:p>
        </c:rich>
      </c:tx>
      <c:layout>
        <c:manualLayout>
          <c:xMode val="edge"/>
          <c:yMode val="edge"/>
          <c:x val="0.38482670933384233"/>
          <c:y val="1.30509833581978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3"/>
          <c:order val="3"/>
          <c:tx>
            <c:strRef>
              <c:f>'Question 1'!$S$1</c:f>
              <c:strCache>
                <c:ptCount val="1"/>
                <c:pt idx="0">
                  <c:v>Rural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05-468F-AAB8-3A186A2098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05-468F-AAB8-3A186A2098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905-468F-AAB8-3A186A20989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905-468F-AAB8-3A186A20989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905-468F-AAB8-3A186A20989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905-468F-AAB8-3A186A20989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905-468F-AAB8-3A186A2098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'Question 1'!$O$2:$O$9</c15:sqref>
                  </c15:fullRef>
                </c:ext>
              </c:extLst>
              <c:f>'Question 1'!$O$2:$O$8</c:f>
              <c:strCache>
                <c:ptCount val="7"/>
                <c:pt idx="0">
                  <c:v>Food</c:v>
                </c:pt>
                <c:pt idx="1">
                  <c:v>Luxury</c:v>
                </c:pt>
                <c:pt idx="2">
                  <c:v>Clothing</c:v>
                </c:pt>
                <c:pt idx="3">
                  <c:v>Housing</c:v>
                </c:pt>
                <c:pt idx="4">
                  <c:v>Fuel and Light</c:v>
                </c:pt>
                <c:pt idx="5">
                  <c:v>Service</c:v>
                </c:pt>
                <c:pt idx="6">
                  <c:v>Miscellaneous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'Question 1'!$S$2:$S$9</c15:sqref>
                  </c15:fullRef>
                </c:ext>
              </c:extLst>
              <c:f>'Question 1'!$S$2:$S$8</c:f>
              <c:numCache>
                <c:formatCode>0%</c:formatCode>
                <c:ptCount val="7"/>
                <c:pt idx="0">
                  <c:v>0.50918022583800127</c:v>
                </c:pt>
                <c:pt idx="1">
                  <c:v>0.12416644438516936</c:v>
                </c:pt>
                <c:pt idx="2">
                  <c:v>0.12667822530452563</c:v>
                </c:pt>
                <c:pt idx="3">
                  <c:v>3.9966213212412192E-2</c:v>
                </c:pt>
                <c:pt idx="4">
                  <c:v>4.0566373255090236E-2</c:v>
                </c:pt>
                <c:pt idx="5">
                  <c:v>0.1195429892415755</c:v>
                </c:pt>
                <c:pt idx="6">
                  <c:v>3.9899528763225736E-2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3-1DC2-43BE-9113-68A94913DB0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'Question 1'!$P$1</c15:sqref>
                        </c15:formulaRef>
                      </c:ext>
                    </c:extLst>
                    <c:strCache>
                      <c:ptCount val="1"/>
                      <c:pt idx="0">
                        <c:v>Rural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F-B905-468F-AAB8-3A186A20989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1-B905-468F-AAB8-3A186A20989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3-B905-468F-AAB8-3A186A209899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5-B905-468F-AAB8-3A186A209899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7-B905-468F-AAB8-3A186A209899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9-B905-468F-AAB8-3A186A209899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B-B905-468F-AAB8-3A186A209899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'Question 1'!$O$2:$O$9</c15:sqref>
                        </c15:fullRef>
                        <c15:formulaRef>
                          <c15:sqref>'Question 1'!$O$2:$O$8</c15:sqref>
                        </c15:formulaRef>
                      </c:ext>
                    </c:extLst>
                    <c:strCache>
                      <c:ptCount val="7"/>
                      <c:pt idx="0">
                        <c:v>Food</c:v>
                      </c:pt>
                      <c:pt idx="1">
                        <c:v>Luxury</c:v>
                      </c:pt>
                      <c:pt idx="2">
                        <c:v>Clothing</c:v>
                      </c:pt>
                      <c:pt idx="3">
                        <c:v>Housing</c:v>
                      </c:pt>
                      <c:pt idx="4">
                        <c:v>Fuel and Light</c:v>
                      </c:pt>
                      <c:pt idx="5">
                        <c:v>Service</c:v>
                      </c:pt>
                      <c:pt idx="6">
                        <c:v>Miscellaneous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'Question 1'!$P$2:$P$9</c15:sqref>
                        </c15:fullRef>
                        <c15:formulaRef>
                          <c15:sqref>'Question 1'!$P$2:$P$8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2290.7000000000007</c:v>
                      </c:pt>
                      <c:pt idx="1">
                        <c:v>558.6</c:v>
                      </c:pt>
                      <c:pt idx="2">
                        <c:v>569.90000000000009</c:v>
                      </c:pt>
                      <c:pt idx="3">
                        <c:v>179.8</c:v>
                      </c:pt>
                      <c:pt idx="4">
                        <c:v>182.5</c:v>
                      </c:pt>
                      <c:pt idx="5">
                        <c:v>537.79999999999995</c:v>
                      </c:pt>
                      <c:pt idx="6">
                        <c:v>179.5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0-1DC2-43BE-9113-68A94913DB0C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'Question 1'!$Q$1</c15:sqref>
                        </c15:formulaRef>
                      </c:ext>
                    </c:extLst>
                    <c:strCache>
                      <c:ptCount val="1"/>
                      <c:pt idx="0">
                        <c:v>Urban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D-B905-468F-AAB8-3A186A20989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F-B905-468F-AAB8-3A186A20989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1-B905-468F-AAB8-3A186A209899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3-B905-468F-AAB8-3A186A209899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5-B905-468F-AAB8-3A186A209899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7-B905-468F-AAB8-3A186A209899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9-B905-468F-AAB8-3A186A209899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'Question 1'!$O$2:$O$9</c15:sqref>
                        </c15:fullRef>
                        <c15:formulaRef>
                          <c15:sqref>'Question 1'!$O$2:$O$8</c15:sqref>
                        </c15:formulaRef>
                      </c:ext>
                    </c:extLst>
                    <c:strCache>
                      <c:ptCount val="7"/>
                      <c:pt idx="0">
                        <c:v>Food</c:v>
                      </c:pt>
                      <c:pt idx="1">
                        <c:v>Luxury</c:v>
                      </c:pt>
                      <c:pt idx="2">
                        <c:v>Clothing</c:v>
                      </c:pt>
                      <c:pt idx="3">
                        <c:v>Housing</c:v>
                      </c:pt>
                      <c:pt idx="4">
                        <c:v>Fuel and Light</c:v>
                      </c:pt>
                      <c:pt idx="5">
                        <c:v>Service</c:v>
                      </c:pt>
                      <c:pt idx="6">
                        <c:v>Miscellaneous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'Question 1'!$Q$2:$Q$9</c15:sqref>
                        </c15:fullRef>
                        <c15:formulaRef>
                          <c15:sqref>'Question 1'!$Q$2:$Q$8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2335.1</c:v>
                      </c:pt>
                      <c:pt idx="1">
                        <c:v>559</c:v>
                      </c:pt>
                      <c:pt idx="2">
                        <c:v>528.70000000000005</c:v>
                      </c:pt>
                      <c:pt idx="3">
                        <c:v>345.7</c:v>
                      </c:pt>
                      <c:pt idx="4">
                        <c:v>183.4</c:v>
                      </c:pt>
                      <c:pt idx="5">
                        <c:v>517.40000000000009</c:v>
                      </c:pt>
                      <c:pt idx="6">
                        <c:v>171.6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1-1DC2-43BE-9113-68A94913DB0C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'Question 1'!$R$1</c15:sqref>
                        </c15:formulaRef>
                      </c:ext>
                    </c:extLst>
                    <c:strCache>
                      <c:ptCount val="1"/>
                      <c:pt idx="0">
                        <c:v>Both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B-B905-468F-AAB8-3A186A20989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D-B905-468F-AAB8-3A186A20989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F-B905-468F-AAB8-3A186A209899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1-B905-468F-AAB8-3A186A209899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3-B905-468F-AAB8-3A186A209899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5-B905-468F-AAB8-3A186A209899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7-B905-468F-AAB8-3A186A209899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'Question 1'!$O$2:$O$9</c15:sqref>
                        </c15:fullRef>
                        <c15:formulaRef>
                          <c15:sqref>'Question 1'!$O$2:$O$8</c15:sqref>
                        </c15:formulaRef>
                      </c:ext>
                    </c:extLst>
                    <c:strCache>
                      <c:ptCount val="7"/>
                      <c:pt idx="0">
                        <c:v>Food</c:v>
                      </c:pt>
                      <c:pt idx="1">
                        <c:v>Luxury</c:v>
                      </c:pt>
                      <c:pt idx="2">
                        <c:v>Clothing</c:v>
                      </c:pt>
                      <c:pt idx="3">
                        <c:v>Housing</c:v>
                      </c:pt>
                      <c:pt idx="4">
                        <c:v>Fuel and Light</c:v>
                      </c:pt>
                      <c:pt idx="5">
                        <c:v>Service</c:v>
                      </c:pt>
                      <c:pt idx="6">
                        <c:v>Miscellaneous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'Question 1'!$R$2:$R$9</c15:sqref>
                        </c15:fullRef>
                        <c15:formulaRef>
                          <c15:sqref>'Question 1'!$R$2:$R$8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2306.9</c:v>
                      </c:pt>
                      <c:pt idx="1">
                        <c:v>557.4</c:v>
                      </c:pt>
                      <c:pt idx="2">
                        <c:v>553.20000000000005</c:v>
                      </c:pt>
                      <c:pt idx="3">
                        <c:v>350.79999999999995</c:v>
                      </c:pt>
                      <c:pt idx="4">
                        <c:v>182.8</c:v>
                      </c:pt>
                      <c:pt idx="5">
                        <c:v>527.6</c:v>
                      </c:pt>
                      <c:pt idx="6">
                        <c:v>175.7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2-1DC2-43BE-9113-68A94913DB0C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'Question 1'!$T$1</c15:sqref>
                        </c15:formulaRef>
                      </c:ext>
                    </c:extLst>
                    <c:strCache>
                      <c:ptCount val="1"/>
                      <c:pt idx="0">
                        <c:v>Urban (%)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9-B905-468F-AAB8-3A186A20989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B-B905-468F-AAB8-3A186A20989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D-B905-468F-AAB8-3A186A209899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F-B905-468F-AAB8-3A186A209899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1-B905-468F-AAB8-3A186A209899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3-B905-468F-AAB8-3A186A209899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5-B905-468F-AAB8-3A186A209899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'Question 1'!$O$2:$O$9</c15:sqref>
                        </c15:fullRef>
                        <c15:formulaRef>
                          <c15:sqref>'Question 1'!$O$2:$O$8</c15:sqref>
                        </c15:formulaRef>
                      </c:ext>
                    </c:extLst>
                    <c:strCache>
                      <c:ptCount val="7"/>
                      <c:pt idx="0">
                        <c:v>Food</c:v>
                      </c:pt>
                      <c:pt idx="1">
                        <c:v>Luxury</c:v>
                      </c:pt>
                      <c:pt idx="2">
                        <c:v>Clothing</c:v>
                      </c:pt>
                      <c:pt idx="3">
                        <c:v>Housing</c:v>
                      </c:pt>
                      <c:pt idx="4">
                        <c:v>Fuel and Light</c:v>
                      </c:pt>
                      <c:pt idx="5">
                        <c:v>Service</c:v>
                      </c:pt>
                      <c:pt idx="6">
                        <c:v>Miscellaneous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'Question 1'!$T$2:$T$9</c15:sqref>
                        </c15:fullRef>
                        <c15:formulaRef>
                          <c15:sqref>'Question 1'!$T$2:$T$8</c15:sqref>
                        </c15:formulaRef>
                      </c:ext>
                    </c:extLst>
                    <c:numCache>
                      <c:formatCode>0%</c:formatCode>
                      <c:ptCount val="7"/>
                      <c:pt idx="0">
                        <c:v>0.50315671529229233</c:v>
                      </c:pt>
                      <c:pt idx="1">
                        <c:v>0.12045077463423041</c:v>
                      </c:pt>
                      <c:pt idx="2">
                        <c:v>0.11392186860307267</c:v>
                      </c:pt>
                      <c:pt idx="3">
                        <c:v>7.4489861880238734E-2</c:v>
                      </c:pt>
                      <c:pt idx="4">
                        <c:v>3.9518196901463076E-2</c:v>
                      </c:pt>
                      <c:pt idx="5">
                        <c:v>0.11148699605679933</c:v>
                      </c:pt>
                      <c:pt idx="6">
                        <c:v>3.6975586631903291E-2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4-1DC2-43BE-9113-68A94913DB0C}"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'Question 1'!$U$1</c15:sqref>
                        </c15:formulaRef>
                      </c:ext>
                    </c:extLst>
                    <c:strCache>
                      <c:ptCount val="1"/>
                      <c:pt idx="0">
                        <c:v>Both (%)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7-B905-468F-AAB8-3A186A20989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9-B905-468F-AAB8-3A186A20989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B-B905-468F-AAB8-3A186A209899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D-B905-468F-AAB8-3A186A209899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F-B905-468F-AAB8-3A186A209899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1-B905-468F-AAB8-3A186A209899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3-B905-468F-AAB8-3A186A209899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'Question 1'!$O$2:$O$9</c15:sqref>
                        </c15:fullRef>
                        <c15:formulaRef>
                          <c15:sqref>'Question 1'!$O$2:$O$8</c15:sqref>
                        </c15:formulaRef>
                      </c:ext>
                    </c:extLst>
                    <c:strCache>
                      <c:ptCount val="7"/>
                      <c:pt idx="0">
                        <c:v>Food</c:v>
                      </c:pt>
                      <c:pt idx="1">
                        <c:v>Luxury</c:v>
                      </c:pt>
                      <c:pt idx="2">
                        <c:v>Clothing</c:v>
                      </c:pt>
                      <c:pt idx="3">
                        <c:v>Housing</c:v>
                      </c:pt>
                      <c:pt idx="4">
                        <c:v>Fuel and Light</c:v>
                      </c:pt>
                      <c:pt idx="5">
                        <c:v>Service</c:v>
                      </c:pt>
                      <c:pt idx="6">
                        <c:v>Miscellaneous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'Question 1'!$U$2:$U$9</c15:sqref>
                        </c15:fullRef>
                        <c15:formulaRef>
                          <c15:sqref>'Question 1'!$U$2:$U$8</c15:sqref>
                        </c15:formulaRef>
                      </c:ext>
                    </c:extLst>
                    <c:numCache>
                      <c:formatCode>0%</c:formatCode>
                      <c:ptCount val="7"/>
                      <c:pt idx="0">
                        <c:v>0.49563853557923682</c:v>
                      </c:pt>
                      <c:pt idx="1">
                        <c:v>0.11975764867652113</c:v>
                      </c:pt>
                      <c:pt idx="2">
                        <c:v>0.11885527672739772</c:v>
                      </c:pt>
                      <c:pt idx="3">
                        <c:v>7.5369542798212424E-2</c:v>
                      </c:pt>
                      <c:pt idx="4">
                        <c:v>3.9274664833276039E-2</c:v>
                      </c:pt>
                      <c:pt idx="5">
                        <c:v>0.11335510484702646</c:v>
                      </c:pt>
                      <c:pt idx="6">
                        <c:v>3.7749226538329315E-2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5-1DC2-43BE-9113-68A94913DB0C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464716157740643"/>
          <c:y val="8.8835577391689027E-2"/>
          <c:w val="0.2127276489826202"/>
          <c:h val="0.86503818825632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Urban</a:t>
            </a:r>
          </a:p>
        </c:rich>
      </c:tx>
      <c:layout>
        <c:manualLayout>
          <c:xMode val="edge"/>
          <c:yMode val="edge"/>
          <c:x val="0.37030243956104758"/>
          <c:y val="1.30509833581978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4"/>
          <c:order val="4"/>
          <c:tx>
            <c:strRef>
              <c:f>'Question 1'!$T$1</c:f>
              <c:strCache>
                <c:ptCount val="1"/>
                <c:pt idx="0">
                  <c:v>Urban (%)</c:v>
                </c:pt>
              </c:strCache>
              <c:extLst xmlns:c15="http://schemas.microsoft.com/office/drawing/2012/chart"/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2FD1-47AA-9DC9-F43DEAE24E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2FD1-47AA-9DC9-F43DEAE24E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2FD1-47AA-9DC9-F43DEAE24E2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2FD1-47AA-9DC9-F43DEAE24E2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2FD1-47AA-9DC9-F43DEAE24E2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2FD1-47AA-9DC9-F43DEAE24E2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2FD1-47AA-9DC9-F43DEAE24E2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5="http://schemas.microsoft.com/office/drawing/2012/chart"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'Question 1'!$O$2:$O$9</c15:sqref>
                  </c15:fullRef>
                </c:ext>
              </c:extLst>
              <c:f>'Question 1'!$O$2:$O$8</c:f>
              <c:strCache>
                <c:ptCount val="7"/>
                <c:pt idx="0">
                  <c:v>Food</c:v>
                </c:pt>
                <c:pt idx="1">
                  <c:v>Luxury</c:v>
                </c:pt>
                <c:pt idx="2">
                  <c:v>Clothing</c:v>
                </c:pt>
                <c:pt idx="3">
                  <c:v>Housing</c:v>
                </c:pt>
                <c:pt idx="4">
                  <c:v>Fuel and Light</c:v>
                </c:pt>
                <c:pt idx="5">
                  <c:v>Service</c:v>
                </c:pt>
                <c:pt idx="6">
                  <c:v>Miscellaneous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'Question 1'!$T$2:$T$9</c15:sqref>
                  </c15:fullRef>
                </c:ext>
              </c:extLst>
              <c:f>'Question 1'!$T$2:$T$8</c:f>
              <c:numCache>
                <c:formatCode>0%</c:formatCode>
                <c:ptCount val="7"/>
                <c:pt idx="0">
                  <c:v>0.50315671529229233</c:v>
                </c:pt>
                <c:pt idx="1">
                  <c:v>0.12045077463423041</c:v>
                </c:pt>
                <c:pt idx="2">
                  <c:v>0.11392186860307267</c:v>
                </c:pt>
                <c:pt idx="3">
                  <c:v>7.4489861880238734E-2</c:v>
                </c:pt>
                <c:pt idx="4">
                  <c:v>3.9518196901463076E-2</c:v>
                </c:pt>
                <c:pt idx="5">
                  <c:v>0.11148699605679933</c:v>
                </c:pt>
                <c:pt idx="6">
                  <c:v>3.6975586631903291E-2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4A-2FD1-47AA-9DC9-F43DEAE24E2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'Question 1'!$P$1</c15:sqref>
                        </c15:formulaRef>
                      </c:ext>
                    </c:extLst>
                    <c:strCache>
                      <c:ptCount val="1"/>
                      <c:pt idx="0">
                        <c:v>Rural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0-2FD1-47AA-9DC9-F43DEAE24E2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2-2FD1-47AA-9DC9-F43DEAE24E24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4-2FD1-47AA-9DC9-F43DEAE24E24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6-2FD1-47AA-9DC9-F43DEAE24E24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8-2FD1-47AA-9DC9-F43DEAE24E24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A-2FD1-47AA-9DC9-F43DEAE24E24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C-2FD1-47AA-9DC9-F43DEAE24E2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'Question 1'!$O$2:$O$9</c15:sqref>
                        </c15:fullRef>
                        <c15:formulaRef>
                          <c15:sqref>'Question 1'!$O$2:$O$8</c15:sqref>
                        </c15:formulaRef>
                      </c:ext>
                    </c:extLst>
                    <c:strCache>
                      <c:ptCount val="7"/>
                      <c:pt idx="0">
                        <c:v>Food</c:v>
                      </c:pt>
                      <c:pt idx="1">
                        <c:v>Luxury</c:v>
                      </c:pt>
                      <c:pt idx="2">
                        <c:v>Clothing</c:v>
                      </c:pt>
                      <c:pt idx="3">
                        <c:v>Housing</c:v>
                      </c:pt>
                      <c:pt idx="4">
                        <c:v>Fuel and Light</c:v>
                      </c:pt>
                      <c:pt idx="5">
                        <c:v>Service</c:v>
                      </c:pt>
                      <c:pt idx="6">
                        <c:v>Miscellaneous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'Question 1'!$P$2:$P$9</c15:sqref>
                        </c15:fullRef>
                        <c15:formulaRef>
                          <c15:sqref>'Question 1'!$P$2:$P$8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2290.7000000000007</c:v>
                      </c:pt>
                      <c:pt idx="1">
                        <c:v>558.6</c:v>
                      </c:pt>
                      <c:pt idx="2">
                        <c:v>569.90000000000009</c:v>
                      </c:pt>
                      <c:pt idx="3">
                        <c:v>179.8</c:v>
                      </c:pt>
                      <c:pt idx="4">
                        <c:v>182.5</c:v>
                      </c:pt>
                      <c:pt idx="5">
                        <c:v>537.79999999999995</c:v>
                      </c:pt>
                      <c:pt idx="6">
                        <c:v>179.5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1D-2FD1-47AA-9DC9-F43DEAE24E24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'Question 1'!$Q$1</c15:sqref>
                        </c15:formulaRef>
                      </c:ext>
                    </c:extLst>
                    <c:strCache>
                      <c:ptCount val="1"/>
                      <c:pt idx="0">
                        <c:v>Urban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F-2FD1-47AA-9DC9-F43DEAE24E2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1-2FD1-47AA-9DC9-F43DEAE24E24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3-2FD1-47AA-9DC9-F43DEAE24E24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5-2FD1-47AA-9DC9-F43DEAE24E24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7-2FD1-47AA-9DC9-F43DEAE24E24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9-2FD1-47AA-9DC9-F43DEAE24E24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B-2FD1-47AA-9DC9-F43DEAE24E2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'Question 1'!$O$2:$O$9</c15:sqref>
                        </c15:fullRef>
                        <c15:formulaRef>
                          <c15:sqref>'Question 1'!$O$2:$O$8</c15:sqref>
                        </c15:formulaRef>
                      </c:ext>
                    </c:extLst>
                    <c:strCache>
                      <c:ptCount val="7"/>
                      <c:pt idx="0">
                        <c:v>Food</c:v>
                      </c:pt>
                      <c:pt idx="1">
                        <c:v>Luxury</c:v>
                      </c:pt>
                      <c:pt idx="2">
                        <c:v>Clothing</c:v>
                      </c:pt>
                      <c:pt idx="3">
                        <c:v>Housing</c:v>
                      </c:pt>
                      <c:pt idx="4">
                        <c:v>Fuel and Light</c:v>
                      </c:pt>
                      <c:pt idx="5">
                        <c:v>Service</c:v>
                      </c:pt>
                      <c:pt idx="6">
                        <c:v>Miscellaneous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'Question 1'!$Q$2:$Q$9</c15:sqref>
                        </c15:fullRef>
                        <c15:formulaRef>
                          <c15:sqref>'Question 1'!$Q$2:$Q$8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2335.1</c:v>
                      </c:pt>
                      <c:pt idx="1">
                        <c:v>559</c:v>
                      </c:pt>
                      <c:pt idx="2">
                        <c:v>528.70000000000005</c:v>
                      </c:pt>
                      <c:pt idx="3">
                        <c:v>345.7</c:v>
                      </c:pt>
                      <c:pt idx="4">
                        <c:v>183.4</c:v>
                      </c:pt>
                      <c:pt idx="5">
                        <c:v>517.40000000000009</c:v>
                      </c:pt>
                      <c:pt idx="6">
                        <c:v>171.6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2C-2FD1-47AA-9DC9-F43DEAE24E24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'Question 1'!$R$1</c15:sqref>
                        </c15:formulaRef>
                      </c:ext>
                    </c:extLst>
                    <c:strCache>
                      <c:ptCount val="1"/>
                      <c:pt idx="0">
                        <c:v>Both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E-2FD1-47AA-9DC9-F43DEAE24E2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0-2FD1-47AA-9DC9-F43DEAE24E24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2-2FD1-47AA-9DC9-F43DEAE24E24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4-2FD1-47AA-9DC9-F43DEAE24E24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6-2FD1-47AA-9DC9-F43DEAE24E24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8-2FD1-47AA-9DC9-F43DEAE24E24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A-2FD1-47AA-9DC9-F43DEAE24E2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'Question 1'!$O$2:$O$9</c15:sqref>
                        </c15:fullRef>
                        <c15:formulaRef>
                          <c15:sqref>'Question 1'!$O$2:$O$8</c15:sqref>
                        </c15:formulaRef>
                      </c:ext>
                    </c:extLst>
                    <c:strCache>
                      <c:ptCount val="7"/>
                      <c:pt idx="0">
                        <c:v>Food</c:v>
                      </c:pt>
                      <c:pt idx="1">
                        <c:v>Luxury</c:v>
                      </c:pt>
                      <c:pt idx="2">
                        <c:v>Clothing</c:v>
                      </c:pt>
                      <c:pt idx="3">
                        <c:v>Housing</c:v>
                      </c:pt>
                      <c:pt idx="4">
                        <c:v>Fuel and Light</c:v>
                      </c:pt>
                      <c:pt idx="5">
                        <c:v>Service</c:v>
                      </c:pt>
                      <c:pt idx="6">
                        <c:v>Miscellaneous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'Question 1'!$R$2:$R$9</c15:sqref>
                        </c15:fullRef>
                        <c15:formulaRef>
                          <c15:sqref>'Question 1'!$R$2:$R$8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2306.9</c:v>
                      </c:pt>
                      <c:pt idx="1">
                        <c:v>557.4</c:v>
                      </c:pt>
                      <c:pt idx="2">
                        <c:v>553.20000000000005</c:v>
                      </c:pt>
                      <c:pt idx="3">
                        <c:v>350.79999999999995</c:v>
                      </c:pt>
                      <c:pt idx="4">
                        <c:v>182.8</c:v>
                      </c:pt>
                      <c:pt idx="5">
                        <c:v>527.6</c:v>
                      </c:pt>
                      <c:pt idx="6">
                        <c:v>175.7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3B-2FD1-47AA-9DC9-F43DEAE24E24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'Question 1'!$S$1</c15:sqref>
                        </c15:formulaRef>
                      </c:ext>
                    </c:extLst>
                    <c:strCache>
                      <c:ptCount val="1"/>
                      <c:pt idx="0">
                        <c:v>Rural (%)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1-2FD1-47AA-9DC9-F43DEAE24E2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3-2FD1-47AA-9DC9-F43DEAE24E24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5-2FD1-47AA-9DC9-F43DEAE24E24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7-2FD1-47AA-9DC9-F43DEAE24E24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9-2FD1-47AA-9DC9-F43DEAE24E24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2FD1-47AA-9DC9-F43DEAE24E24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2FD1-47AA-9DC9-F43DEAE24E2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'Question 1'!$O$2:$O$9</c15:sqref>
                        </c15:fullRef>
                        <c15:formulaRef>
                          <c15:sqref>'Question 1'!$O$2:$O$8</c15:sqref>
                        </c15:formulaRef>
                      </c:ext>
                    </c:extLst>
                    <c:strCache>
                      <c:ptCount val="7"/>
                      <c:pt idx="0">
                        <c:v>Food</c:v>
                      </c:pt>
                      <c:pt idx="1">
                        <c:v>Luxury</c:v>
                      </c:pt>
                      <c:pt idx="2">
                        <c:v>Clothing</c:v>
                      </c:pt>
                      <c:pt idx="3">
                        <c:v>Housing</c:v>
                      </c:pt>
                      <c:pt idx="4">
                        <c:v>Fuel and Light</c:v>
                      </c:pt>
                      <c:pt idx="5">
                        <c:v>Service</c:v>
                      </c:pt>
                      <c:pt idx="6">
                        <c:v>Miscellaneous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'Question 1'!$S$2:$S$9</c15:sqref>
                        </c15:fullRef>
                        <c15:formulaRef>
                          <c15:sqref>'Question 1'!$S$2:$S$8</c15:sqref>
                        </c15:formulaRef>
                      </c:ext>
                    </c:extLst>
                    <c:numCache>
                      <c:formatCode>0%</c:formatCode>
                      <c:ptCount val="7"/>
                      <c:pt idx="0">
                        <c:v>0.50918022583800127</c:v>
                      </c:pt>
                      <c:pt idx="1">
                        <c:v>0.12416644438516936</c:v>
                      </c:pt>
                      <c:pt idx="2">
                        <c:v>0.12667822530452563</c:v>
                      </c:pt>
                      <c:pt idx="3">
                        <c:v>3.9966213212412192E-2</c:v>
                      </c:pt>
                      <c:pt idx="4">
                        <c:v>4.0566373255090236E-2</c:v>
                      </c:pt>
                      <c:pt idx="5">
                        <c:v>0.1195429892415755</c:v>
                      </c:pt>
                      <c:pt idx="6">
                        <c:v>3.9899528763225736E-2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E-2FD1-47AA-9DC9-F43DEAE24E24}"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'Question 1'!$U$1</c15:sqref>
                        </c15:formulaRef>
                      </c:ext>
                    </c:extLst>
                    <c:strCache>
                      <c:ptCount val="1"/>
                      <c:pt idx="0">
                        <c:v>Both (%)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C-2FD1-47AA-9DC9-F43DEAE24E2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E-2FD1-47AA-9DC9-F43DEAE24E24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0-2FD1-47AA-9DC9-F43DEAE24E24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2-2FD1-47AA-9DC9-F43DEAE24E24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4-2FD1-47AA-9DC9-F43DEAE24E24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6-2FD1-47AA-9DC9-F43DEAE24E24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8-2FD1-47AA-9DC9-F43DEAE24E2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'Question 1'!$O$2:$O$9</c15:sqref>
                        </c15:fullRef>
                        <c15:formulaRef>
                          <c15:sqref>'Question 1'!$O$2:$O$8</c15:sqref>
                        </c15:formulaRef>
                      </c:ext>
                    </c:extLst>
                    <c:strCache>
                      <c:ptCount val="7"/>
                      <c:pt idx="0">
                        <c:v>Food</c:v>
                      </c:pt>
                      <c:pt idx="1">
                        <c:v>Luxury</c:v>
                      </c:pt>
                      <c:pt idx="2">
                        <c:v>Clothing</c:v>
                      </c:pt>
                      <c:pt idx="3">
                        <c:v>Housing</c:v>
                      </c:pt>
                      <c:pt idx="4">
                        <c:v>Fuel and Light</c:v>
                      </c:pt>
                      <c:pt idx="5">
                        <c:v>Service</c:v>
                      </c:pt>
                      <c:pt idx="6">
                        <c:v>Miscellaneous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'Question 1'!$U$2:$U$9</c15:sqref>
                        </c15:fullRef>
                        <c15:formulaRef>
                          <c15:sqref>'Question 1'!$U$2:$U$8</c15:sqref>
                        </c15:formulaRef>
                      </c:ext>
                    </c:extLst>
                    <c:numCache>
                      <c:formatCode>0%</c:formatCode>
                      <c:ptCount val="7"/>
                      <c:pt idx="0">
                        <c:v>0.49563853557923682</c:v>
                      </c:pt>
                      <c:pt idx="1">
                        <c:v>0.11975764867652113</c:v>
                      </c:pt>
                      <c:pt idx="2">
                        <c:v>0.11885527672739772</c:v>
                      </c:pt>
                      <c:pt idx="3">
                        <c:v>7.5369542798212424E-2</c:v>
                      </c:pt>
                      <c:pt idx="4">
                        <c:v>3.9274664833276039E-2</c:v>
                      </c:pt>
                      <c:pt idx="5">
                        <c:v>0.11335510484702646</c:v>
                      </c:pt>
                      <c:pt idx="6">
                        <c:v>3.7749226538329315E-2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59-2FD1-47AA-9DC9-F43DEAE24E24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04589985374994"/>
          <c:y val="7.5784594033491193E-2"/>
          <c:w val="0.25691581202252717"/>
          <c:h val="0.858512696577225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Rural</a:t>
            </a:r>
            <a:r>
              <a:rPr lang="en-US" baseline="0"/>
              <a:t> + Urban</a:t>
            </a:r>
          </a:p>
        </c:rich>
      </c:tx>
      <c:layout>
        <c:manualLayout>
          <c:xMode val="edge"/>
          <c:yMode val="edge"/>
          <c:x val="0.31267375168439415"/>
          <c:y val="2.2839220876846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5"/>
          <c:order val="5"/>
          <c:tx>
            <c:strRef>
              <c:f>'Question 1'!$U$1</c:f>
              <c:strCache>
                <c:ptCount val="1"/>
                <c:pt idx="0">
                  <c:v>Both (%)</c:v>
                </c:pt>
              </c:strCache>
              <c:extLst xmlns:c15="http://schemas.microsoft.com/office/drawing/2012/chart"/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C-4874-467F-AC98-FDC6D92BBBE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E-4874-467F-AC98-FDC6D92BBBE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0-4874-467F-AC98-FDC6D92BBBE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2-4874-467F-AC98-FDC6D92BBBE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4-4874-467F-AC98-FDC6D92BBBE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6-4874-467F-AC98-FDC6D92BBBE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8-4874-467F-AC98-FDC6D92BBB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5="http://schemas.microsoft.com/office/drawing/2012/chart"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'Question 1'!$O$2:$O$9</c15:sqref>
                  </c15:fullRef>
                </c:ext>
              </c:extLst>
              <c:f>'Question 1'!$O$2:$O$8</c:f>
              <c:strCache>
                <c:ptCount val="7"/>
                <c:pt idx="0">
                  <c:v>Food</c:v>
                </c:pt>
                <c:pt idx="1">
                  <c:v>Luxury</c:v>
                </c:pt>
                <c:pt idx="2">
                  <c:v>Clothing</c:v>
                </c:pt>
                <c:pt idx="3">
                  <c:v>Housing</c:v>
                </c:pt>
                <c:pt idx="4">
                  <c:v>Fuel and Light</c:v>
                </c:pt>
                <c:pt idx="5">
                  <c:v>Service</c:v>
                </c:pt>
                <c:pt idx="6">
                  <c:v>Miscellaneous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'Question 1'!$U$2:$U$9</c15:sqref>
                  </c15:fullRef>
                </c:ext>
              </c:extLst>
              <c:f>'Question 1'!$U$2:$U$8</c:f>
              <c:numCache>
                <c:formatCode>0%</c:formatCode>
                <c:ptCount val="7"/>
                <c:pt idx="0">
                  <c:v>0.49563853557923682</c:v>
                </c:pt>
                <c:pt idx="1">
                  <c:v>0.11975764867652113</c:v>
                </c:pt>
                <c:pt idx="2">
                  <c:v>0.11885527672739772</c:v>
                </c:pt>
                <c:pt idx="3">
                  <c:v>7.5369542798212424E-2</c:v>
                </c:pt>
                <c:pt idx="4">
                  <c:v>3.9274664833276039E-2</c:v>
                </c:pt>
                <c:pt idx="5">
                  <c:v>0.11335510484702646</c:v>
                </c:pt>
                <c:pt idx="6">
                  <c:v>3.7749226538329315E-2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59-4874-467F-AC98-FDC6D92BBBE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'Question 1'!$P$1</c15:sqref>
                        </c15:formulaRef>
                      </c:ext>
                    </c:extLst>
                    <c:strCache>
                      <c:ptCount val="1"/>
                      <c:pt idx="0">
                        <c:v>Rural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0-4874-467F-AC98-FDC6D92BBBE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2-4874-467F-AC98-FDC6D92BBBE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4-4874-467F-AC98-FDC6D92BBBEF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6-4874-467F-AC98-FDC6D92BBBEF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8-4874-467F-AC98-FDC6D92BBBEF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A-4874-467F-AC98-FDC6D92BBBEF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C-4874-467F-AC98-FDC6D92BBBEF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'Question 1'!$O$2:$O$9</c15:sqref>
                        </c15:fullRef>
                        <c15:formulaRef>
                          <c15:sqref>'Question 1'!$O$2:$O$8</c15:sqref>
                        </c15:formulaRef>
                      </c:ext>
                    </c:extLst>
                    <c:strCache>
                      <c:ptCount val="7"/>
                      <c:pt idx="0">
                        <c:v>Food</c:v>
                      </c:pt>
                      <c:pt idx="1">
                        <c:v>Luxury</c:v>
                      </c:pt>
                      <c:pt idx="2">
                        <c:v>Clothing</c:v>
                      </c:pt>
                      <c:pt idx="3">
                        <c:v>Housing</c:v>
                      </c:pt>
                      <c:pt idx="4">
                        <c:v>Fuel and Light</c:v>
                      </c:pt>
                      <c:pt idx="5">
                        <c:v>Service</c:v>
                      </c:pt>
                      <c:pt idx="6">
                        <c:v>Miscellaneous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'Question 1'!$P$2:$P$9</c15:sqref>
                        </c15:fullRef>
                        <c15:formulaRef>
                          <c15:sqref>'Question 1'!$P$2:$P$8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2290.7000000000007</c:v>
                      </c:pt>
                      <c:pt idx="1">
                        <c:v>558.6</c:v>
                      </c:pt>
                      <c:pt idx="2">
                        <c:v>569.90000000000009</c:v>
                      </c:pt>
                      <c:pt idx="3">
                        <c:v>179.8</c:v>
                      </c:pt>
                      <c:pt idx="4">
                        <c:v>182.5</c:v>
                      </c:pt>
                      <c:pt idx="5">
                        <c:v>537.79999999999995</c:v>
                      </c:pt>
                      <c:pt idx="6">
                        <c:v>179.5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1D-4874-467F-AC98-FDC6D92BBBEF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'Question 1'!$Q$1</c15:sqref>
                        </c15:formulaRef>
                      </c:ext>
                    </c:extLst>
                    <c:strCache>
                      <c:ptCount val="1"/>
                      <c:pt idx="0">
                        <c:v>Urban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F-4874-467F-AC98-FDC6D92BBBE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1-4874-467F-AC98-FDC6D92BBBE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3-4874-467F-AC98-FDC6D92BBBEF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5-4874-467F-AC98-FDC6D92BBBEF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7-4874-467F-AC98-FDC6D92BBBEF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9-4874-467F-AC98-FDC6D92BBBEF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B-4874-467F-AC98-FDC6D92BBBEF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'Question 1'!$O$2:$O$9</c15:sqref>
                        </c15:fullRef>
                        <c15:formulaRef>
                          <c15:sqref>'Question 1'!$O$2:$O$8</c15:sqref>
                        </c15:formulaRef>
                      </c:ext>
                    </c:extLst>
                    <c:strCache>
                      <c:ptCount val="7"/>
                      <c:pt idx="0">
                        <c:v>Food</c:v>
                      </c:pt>
                      <c:pt idx="1">
                        <c:v>Luxury</c:v>
                      </c:pt>
                      <c:pt idx="2">
                        <c:v>Clothing</c:v>
                      </c:pt>
                      <c:pt idx="3">
                        <c:v>Housing</c:v>
                      </c:pt>
                      <c:pt idx="4">
                        <c:v>Fuel and Light</c:v>
                      </c:pt>
                      <c:pt idx="5">
                        <c:v>Service</c:v>
                      </c:pt>
                      <c:pt idx="6">
                        <c:v>Miscellaneous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'Question 1'!$Q$2:$Q$9</c15:sqref>
                        </c15:fullRef>
                        <c15:formulaRef>
                          <c15:sqref>'Question 1'!$Q$2:$Q$8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2335.1</c:v>
                      </c:pt>
                      <c:pt idx="1">
                        <c:v>559</c:v>
                      </c:pt>
                      <c:pt idx="2">
                        <c:v>528.70000000000005</c:v>
                      </c:pt>
                      <c:pt idx="3">
                        <c:v>345.7</c:v>
                      </c:pt>
                      <c:pt idx="4">
                        <c:v>183.4</c:v>
                      </c:pt>
                      <c:pt idx="5">
                        <c:v>517.40000000000009</c:v>
                      </c:pt>
                      <c:pt idx="6">
                        <c:v>171.6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2C-4874-467F-AC98-FDC6D92BBBEF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'Question 1'!$R$1</c15:sqref>
                        </c15:formulaRef>
                      </c:ext>
                    </c:extLst>
                    <c:strCache>
                      <c:ptCount val="1"/>
                      <c:pt idx="0">
                        <c:v>Both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E-4874-467F-AC98-FDC6D92BBBE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0-4874-467F-AC98-FDC6D92BBBE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2-4874-467F-AC98-FDC6D92BBBEF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4-4874-467F-AC98-FDC6D92BBBEF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6-4874-467F-AC98-FDC6D92BBBEF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8-4874-467F-AC98-FDC6D92BBBEF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A-4874-467F-AC98-FDC6D92BBBEF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'Question 1'!$O$2:$O$9</c15:sqref>
                        </c15:fullRef>
                        <c15:formulaRef>
                          <c15:sqref>'Question 1'!$O$2:$O$8</c15:sqref>
                        </c15:formulaRef>
                      </c:ext>
                    </c:extLst>
                    <c:strCache>
                      <c:ptCount val="7"/>
                      <c:pt idx="0">
                        <c:v>Food</c:v>
                      </c:pt>
                      <c:pt idx="1">
                        <c:v>Luxury</c:v>
                      </c:pt>
                      <c:pt idx="2">
                        <c:v>Clothing</c:v>
                      </c:pt>
                      <c:pt idx="3">
                        <c:v>Housing</c:v>
                      </c:pt>
                      <c:pt idx="4">
                        <c:v>Fuel and Light</c:v>
                      </c:pt>
                      <c:pt idx="5">
                        <c:v>Service</c:v>
                      </c:pt>
                      <c:pt idx="6">
                        <c:v>Miscellaneous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'Question 1'!$R$2:$R$9</c15:sqref>
                        </c15:fullRef>
                        <c15:formulaRef>
                          <c15:sqref>'Question 1'!$R$2:$R$8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2306.9</c:v>
                      </c:pt>
                      <c:pt idx="1">
                        <c:v>557.4</c:v>
                      </c:pt>
                      <c:pt idx="2">
                        <c:v>553.20000000000005</c:v>
                      </c:pt>
                      <c:pt idx="3">
                        <c:v>350.79999999999995</c:v>
                      </c:pt>
                      <c:pt idx="4">
                        <c:v>182.8</c:v>
                      </c:pt>
                      <c:pt idx="5">
                        <c:v>527.6</c:v>
                      </c:pt>
                      <c:pt idx="6">
                        <c:v>175.7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3B-4874-467F-AC98-FDC6D92BBBEF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'Question 1'!$S$1</c15:sqref>
                        </c15:formulaRef>
                      </c:ext>
                    </c:extLst>
                    <c:strCache>
                      <c:ptCount val="1"/>
                      <c:pt idx="0">
                        <c:v>Rural (%)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D-4874-467F-AC98-FDC6D92BBBE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F-4874-467F-AC98-FDC6D92BBBE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1-4874-467F-AC98-FDC6D92BBBEF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3-4874-467F-AC98-FDC6D92BBBEF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5-4874-467F-AC98-FDC6D92BBBEF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7-4874-467F-AC98-FDC6D92BBBEF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9-4874-467F-AC98-FDC6D92BBBEF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'Question 1'!$O$2:$O$9</c15:sqref>
                        </c15:fullRef>
                        <c15:formulaRef>
                          <c15:sqref>'Question 1'!$O$2:$O$8</c15:sqref>
                        </c15:formulaRef>
                      </c:ext>
                    </c:extLst>
                    <c:strCache>
                      <c:ptCount val="7"/>
                      <c:pt idx="0">
                        <c:v>Food</c:v>
                      </c:pt>
                      <c:pt idx="1">
                        <c:v>Luxury</c:v>
                      </c:pt>
                      <c:pt idx="2">
                        <c:v>Clothing</c:v>
                      </c:pt>
                      <c:pt idx="3">
                        <c:v>Housing</c:v>
                      </c:pt>
                      <c:pt idx="4">
                        <c:v>Fuel and Light</c:v>
                      </c:pt>
                      <c:pt idx="5">
                        <c:v>Service</c:v>
                      </c:pt>
                      <c:pt idx="6">
                        <c:v>Miscellaneous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'Question 1'!$S$2:$S$9</c15:sqref>
                        </c15:fullRef>
                        <c15:formulaRef>
                          <c15:sqref>'Question 1'!$S$2:$S$8</c15:sqref>
                        </c15:formulaRef>
                      </c:ext>
                    </c:extLst>
                    <c:numCache>
                      <c:formatCode>0%</c:formatCode>
                      <c:ptCount val="7"/>
                      <c:pt idx="0">
                        <c:v>0.50918022583800127</c:v>
                      </c:pt>
                      <c:pt idx="1">
                        <c:v>0.12416644438516936</c:v>
                      </c:pt>
                      <c:pt idx="2">
                        <c:v>0.12667822530452563</c:v>
                      </c:pt>
                      <c:pt idx="3">
                        <c:v>3.9966213212412192E-2</c:v>
                      </c:pt>
                      <c:pt idx="4">
                        <c:v>4.0566373255090236E-2</c:v>
                      </c:pt>
                      <c:pt idx="5">
                        <c:v>0.1195429892415755</c:v>
                      </c:pt>
                      <c:pt idx="6">
                        <c:v>3.9899528763225736E-2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4A-4874-467F-AC98-FDC6D92BBBEF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'Question 1'!$T$1</c15:sqref>
                        </c15:formulaRef>
                      </c:ext>
                    </c:extLst>
                    <c:strCache>
                      <c:ptCount val="1"/>
                      <c:pt idx="0">
                        <c:v>Urban (%)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1-4874-467F-AC98-FDC6D92BBBE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3-4874-467F-AC98-FDC6D92BBBE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5-4874-467F-AC98-FDC6D92BBBEF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7-4874-467F-AC98-FDC6D92BBBEF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9-4874-467F-AC98-FDC6D92BBBEF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4874-467F-AC98-FDC6D92BBBEF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4874-467F-AC98-FDC6D92BBBEF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'Question 1'!$O$2:$O$9</c15:sqref>
                        </c15:fullRef>
                        <c15:formulaRef>
                          <c15:sqref>'Question 1'!$O$2:$O$8</c15:sqref>
                        </c15:formulaRef>
                      </c:ext>
                    </c:extLst>
                    <c:strCache>
                      <c:ptCount val="7"/>
                      <c:pt idx="0">
                        <c:v>Food</c:v>
                      </c:pt>
                      <c:pt idx="1">
                        <c:v>Luxury</c:v>
                      </c:pt>
                      <c:pt idx="2">
                        <c:v>Clothing</c:v>
                      </c:pt>
                      <c:pt idx="3">
                        <c:v>Housing</c:v>
                      </c:pt>
                      <c:pt idx="4">
                        <c:v>Fuel and Light</c:v>
                      </c:pt>
                      <c:pt idx="5">
                        <c:v>Service</c:v>
                      </c:pt>
                      <c:pt idx="6">
                        <c:v>Miscellaneous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'Question 1'!$T$2:$T$9</c15:sqref>
                        </c15:fullRef>
                        <c15:formulaRef>
                          <c15:sqref>'Question 1'!$T$2:$T$8</c15:sqref>
                        </c15:formulaRef>
                      </c:ext>
                    </c:extLst>
                    <c:numCache>
                      <c:formatCode>0%</c:formatCode>
                      <c:ptCount val="7"/>
                      <c:pt idx="0">
                        <c:v>0.50315671529229233</c:v>
                      </c:pt>
                      <c:pt idx="1">
                        <c:v>0.12045077463423041</c:v>
                      </c:pt>
                      <c:pt idx="2">
                        <c:v>0.11392186860307267</c:v>
                      </c:pt>
                      <c:pt idx="3">
                        <c:v>7.4489861880238734E-2</c:v>
                      </c:pt>
                      <c:pt idx="4">
                        <c:v>3.9518196901463076E-2</c:v>
                      </c:pt>
                      <c:pt idx="5">
                        <c:v>0.11148699605679933</c:v>
                      </c:pt>
                      <c:pt idx="6">
                        <c:v>3.6975586631903291E-2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E-4874-467F-AC98-FDC6D92BBBEF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256319677749493"/>
          <c:y val="8.5572831552139558E-2"/>
          <c:w val="0.25481161378253159"/>
          <c:h val="0.84546171321902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rate</a:t>
            </a:r>
            <a:r>
              <a:rPr lang="en-US" baseline="0"/>
              <a:t> (2017-2023)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2'!$AJ$2</c:f>
              <c:strCache>
                <c:ptCount val="1"/>
                <c:pt idx="0">
                  <c:v>Inflation</c:v>
                </c:pt>
              </c:strCache>
              <c:extLst xmlns:c15="http://schemas.microsoft.com/office/drawing/2012/chart"/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'Question 2'!$AG$3:$AG$9</c15:sqref>
                  </c15:fullRef>
                </c:ext>
              </c:extLst>
              <c:f>'Question 2'!$AG$3:$AG$8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'Question 2'!$AJ$3:$AJ$9</c15:sqref>
                  </c15:fullRef>
                </c:ext>
              </c:extLst>
              <c:f>'Question 2'!$AJ$3:$AJ$8</c:f>
              <c:numCache>
                <c:formatCode>0.00</c:formatCode>
                <c:ptCount val="6"/>
                <c:pt idx="0">
                  <c:v>5.2954719877206271</c:v>
                </c:pt>
                <c:pt idx="1">
                  <c:v>2.3374726077428698</c:v>
                </c:pt>
                <c:pt idx="2">
                  <c:v>7.7363896848137621</c:v>
                </c:pt>
                <c:pt idx="3">
                  <c:v>5.7922769640479483</c:v>
                </c:pt>
                <c:pt idx="4">
                  <c:v>5.6579783852510976</c:v>
                </c:pt>
                <c:pt idx="5">
                  <c:v>6.0350030175015092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99EA-4E67-83FD-A87D292AD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399053568"/>
        <c:axId val="140259950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'Question 2'!$AK$2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ullRef>
                          <c15:sqref>'Question 2'!$AG$3:$AG$9</c15:sqref>
                        </c15:fullRef>
                        <c15:formulaRef>
                          <c15:sqref>'Question 2'!$AG$3:$AG$8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2017</c:v>
                      </c:pt>
                      <c:pt idx="1">
                        <c:v>2018</c:v>
                      </c:pt>
                      <c:pt idx="2">
                        <c:v>2019</c:v>
                      </c:pt>
                      <c:pt idx="3">
                        <c:v>2020</c:v>
                      </c:pt>
                      <c:pt idx="4">
                        <c:v>2021</c:v>
                      </c:pt>
                      <c:pt idx="5">
                        <c:v>2022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'Question 2'!$AK$3:$AK$9</c15:sqref>
                        </c15:fullRef>
                        <c15:formulaRef>
                          <c15:sqref>'Question 2'!$AK$3:$AK$8</c15:sqref>
                        </c15:formulaRef>
                      </c:ext>
                    </c:extLst>
                    <c:numCache>
                      <c:formatCode>0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9EA-4E67-83FD-A87D292ADA1F}"/>
                  </c:ext>
                </c:extLst>
              </c15:ser>
            </c15:filteredBarSeries>
          </c:ext>
        </c:extLst>
      </c:barChart>
      <c:catAx>
        <c:axId val="139905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599504"/>
        <c:crosses val="autoZero"/>
        <c:auto val="1"/>
        <c:lblAlgn val="ctr"/>
        <c:lblOffset val="100"/>
        <c:noMultiLvlLbl val="0"/>
      </c:catAx>
      <c:valAx>
        <c:axId val="1402599504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05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Inflation Rate on</a:t>
            </a:r>
            <a:r>
              <a:rPr lang="en-US" baseline="0"/>
              <a:t> 2019 by M o 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96646723839408E-2"/>
          <c:y val="0.12022803928677782"/>
          <c:w val="0.91860335327616061"/>
          <c:h val="0.74382399221245876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'Question 2'!$AI$14</c:f>
              <c:strCache>
                <c:ptCount val="1"/>
                <c:pt idx="0">
                  <c:v>Inflation Rate</c:v>
                </c:pt>
              </c:strCache>
              <c:extLst xmlns:c15="http://schemas.microsoft.com/office/drawing/2012/chart"/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'Question 2'!$AG$15:$AG$25</c15:sqref>
                  </c15:fullRef>
                </c:ext>
              </c:extLst>
              <c:f>'Question 2'!$AG$16:$AG$25</c:f>
              <c:strCache>
                <c:ptCount val="10"/>
                <c:pt idx="0">
                  <c:v>February</c:v>
                </c:pt>
                <c:pt idx="1">
                  <c:v>March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August</c:v>
                </c:pt>
                <c:pt idx="6">
                  <c:v>September</c:v>
                </c:pt>
                <c:pt idx="7">
                  <c:v>October</c:v>
                </c:pt>
                <c:pt idx="8">
                  <c:v>November</c:v>
                </c:pt>
                <c:pt idx="9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'Question 2'!$AI$15:$AI$25</c15:sqref>
                  </c15:fullRef>
                </c:ext>
              </c:extLst>
              <c:f>'Question 2'!$AI$16:$AI$25</c:f>
              <c:numCache>
                <c:formatCode>0.0</c:formatCode>
                <c:ptCount val="10"/>
                <c:pt idx="0">
                  <c:v>0.21489971346705686</c:v>
                </c:pt>
                <c:pt idx="1">
                  <c:v>0.35739814152966404</c:v>
                </c:pt>
                <c:pt idx="2">
                  <c:v>1.1396011396011354</c:v>
                </c:pt>
                <c:pt idx="3">
                  <c:v>0.63380281690141249</c:v>
                </c:pt>
                <c:pt idx="4">
                  <c:v>0.9097270818754255</c:v>
                </c:pt>
                <c:pt idx="5">
                  <c:v>0.55478502080444614</c:v>
                </c:pt>
                <c:pt idx="6">
                  <c:v>0.55172413793104236</c:v>
                </c:pt>
                <c:pt idx="7">
                  <c:v>0.96021947873798152</c:v>
                </c:pt>
                <c:pt idx="8">
                  <c:v>0.95108695652174302</c:v>
                </c:pt>
                <c:pt idx="9">
                  <c:v>1.2113055181695904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84D9-46D0-9E68-2EE7405802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34621039"/>
        <c:axId val="203462145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'Question 2'!$AH$14</c15:sqref>
                        </c15:formulaRef>
                      </c:ext>
                    </c:extLst>
                    <c:strCache>
                      <c:ptCount val="1"/>
                      <c:pt idx="0">
                        <c:v>Inflation 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'Question 2'!$AG$15:$AG$25</c15:sqref>
                        </c15:fullRef>
                        <c15:formulaRef>
                          <c15:sqref>'Question 2'!$AG$16:$AG$25</c15:sqref>
                        </c15:formulaRef>
                      </c:ext>
                    </c:extLst>
                    <c:strCache>
                      <c:ptCount val="10"/>
                      <c:pt idx="0">
                        <c:v>February</c:v>
                      </c:pt>
                      <c:pt idx="1">
                        <c:v>March</c:v>
                      </c:pt>
                      <c:pt idx="2">
                        <c:v>May</c:v>
                      </c:pt>
                      <c:pt idx="3">
                        <c:v>June</c:v>
                      </c:pt>
                      <c:pt idx="4">
                        <c:v>July</c:v>
                      </c:pt>
                      <c:pt idx="5">
                        <c:v>August</c:v>
                      </c:pt>
                      <c:pt idx="6">
                        <c:v>September</c:v>
                      </c:pt>
                      <c:pt idx="7">
                        <c:v>October</c:v>
                      </c:pt>
                      <c:pt idx="8">
                        <c:v>November</c:v>
                      </c:pt>
                      <c:pt idx="9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'Question 2'!$AH$15:$AH$25</c15:sqref>
                        </c15:fullRef>
                        <c15:formulaRef>
                          <c15:sqref>'Question 2'!$AH$16:$AH$25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139.9</c:v>
                      </c:pt>
                      <c:pt idx="1">
                        <c:v>140.4</c:v>
                      </c:pt>
                      <c:pt idx="2">
                        <c:v>142</c:v>
                      </c:pt>
                      <c:pt idx="3">
                        <c:v>142.9</c:v>
                      </c:pt>
                      <c:pt idx="4">
                        <c:v>144.19999999999999</c:v>
                      </c:pt>
                      <c:pt idx="5">
                        <c:v>145</c:v>
                      </c:pt>
                      <c:pt idx="6">
                        <c:v>145.80000000000001</c:v>
                      </c:pt>
                      <c:pt idx="7">
                        <c:v>147.19999999999999</c:v>
                      </c:pt>
                      <c:pt idx="8">
                        <c:v>148.6</c:v>
                      </c:pt>
                      <c:pt idx="9">
                        <c:v>150.4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4D9-46D0-9E68-2EE740580222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'Question 2'!$AJ$14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'Question 2'!$AG$15:$AG$25</c15:sqref>
                        </c15:fullRef>
                        <c15:formulaRef>
                          <c15:sqref>'Question 2'!$AG$16:$AG$25</c15:sqref>
                        </c15:formulaRef>
                      </c:ext>
                    </c:extLst>
                    <c:strCache>
                      <c:ptCount val="10"/>
                      <c:pt idx="0">
                        <c:v>February</c:v>
                      </c:pt>
                      <c:pt idx="1">
                        <c:v>March</c:v>
                      </c:pt>
                      <c:pt idx="2">
                        <c:v>May</c:v>
                      </c:pt>
                      <c:pt idx="3">
                        <c:v>June</c:v>
                      </c:pt>
                      <c:pt idx="4">
                        <c:v>July</c:v>
                      </c:pt>
                      <c:pt idx="5">
                        <c:v>August</c:v>
                      </c:pt>
                      <c:pt idx="6">
                        <c:v>September</c:v>
                      </c:pt>
                      <c:pt idx="7">
                        <c:v>October</c:v>
                      </c:pt>
                      <c:pt idx="8">
                        <c:v>November</c:v>
                      </c:pt>
                      <c:pt idx="9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'Question 2'!$AJ$15:$AJ$25</c15:sqref>
                        </c15:fullRef>
                        <c15:formulaRef>
                          <c15:sqref>'Question 2'!$AJ$16:$AJ$25</c15:sqref>
                        </c15:formulaRef>
                      </c:ext>
                    </c:extLst>
                    <c:numCache>
                      <c:formatCode>0</c:formatCode>
                      <c:ptCount val="10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4D9-46D0-9E68-2EE740580222}"/>
                  </c:ext>
                </c:extLst>
              </c15:ser>
            </c15:filteredBarSeries>
          </c:ext>
        </c:extLst>
      </c:barChart>
      <c:catAx>
        <c:axId val="2034621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621455"/>
        <c:crosses val="autoZero"/>
        <c:auto val="1"/>
        <c:lblAlgn val="ctr"/>
        <c:lblOffset val="100"/>
        <c:noMultiLvlLbl val="0"/>
      </c:catAx>
      <c:valAx>
        <c:axId val="2034621455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621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Inflation Difference in 2019 December</a:t>
            </a:r>
            <a:r>
              <a:rPr lang="en-US" baseline="0"/>
              <a:t> by Category</a:t>
            </a:r>
          </a:p>
        </c:rich>
      </c:tx>
      <c:layout>
        <c:manualLayout>
          <c:xMode val="edge"/>
          <c:yMode val="edge"/>
          <c:x val="0.23670324581924582"/>
          <c:y val="2.53717796260009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'Question 2'!$AQ$2</c:f>
              <c:strCache>
                <c:ptCount val="1"/>
                <c:pt idx="0">
                  <c:v>Inflation Difference (%)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'Question 2'!$AM$3:$AM$28</c15:sqref>
                  </c15:fullRef>
                </c:ext>
              </c:extLst>
              <c:f>('Question 2'!$AM$3:$AM$7,'Question 2'!$AM$9:$AM$10,'Question 2'!$AM$12,'Question 2'!$AM$15,'Question 2'!$AM$17:$AM$18,'Question 2'!$AM$21,'Question 2'!$AM$24,'Question 2'!$AM$28)</c:f>
              <c:strCache>
                <c:ptCount val="14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Oils and fats</c:v>
                </c:pt>
                <c:pt idx="5">
                  <c:v>Vegetables</c:v>
                </c:pt>
                <c:pt idx="6">
                  <c:v>Pulses and products</c:v>
                </c:pt>
                <c:pt idx="7">
                  <c:v>Spices</c:v>
                </c:pt>
                <c:pt idx="8">
                  <c:v>Food and beverages</c:v>
                </c:pt>
                <c:pt idx="9">
                  <c:v>Clothing</c:v>
                </c:pt>
                <c:pt idx="10">
                  <c:v>Footwear</c:v>
                </c:pt>
                <c:pt idx="11">
                  <c:v>Fuel and light</c:v>
                </c:pt>
                <c:pt idx="12">
                  <c:v>Transport and communication</c:v>
                </c:pt>
                <c:pt idx="13">
                  <c:v>Miscellaneous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'Question 2'!$AQ$3:$AQ$28</c15:sqref>
                  </c15:fullRef>
                </c:ext>
              </c:extLst>
              <c:f>('Question 2'!$AQ$3:$AQ$7,'Question 2'!$AQ$9:$AQ$10,'Question 2'!$AQ$12,'Question 2'!$AQ$15,'Question 2'!$AQ$17:$AQ$18,'Question 2'!$AQ$21,'Question 2'!$AQ$24,'Question 2'!$AQ$28)</c:f>
              <c:numCache>
                <c:formatCode>0</c:formatCode>
                <c:ptCount val="14"/>
                <c:pt idx="0">
                  <c:v>0.70175438596491224</c:v>
                </c:pt>
                <c:pt idx="1">
                  <c:v>1.1029411764705952</c:v>
                </c:pt>
                <c:pt idx="2">
                  <c:v>3.7774725274725278</c:v>
                </c:pt>
                <c:pt idx="3">
                  <c:v>1.0906612133606155</c:v>
                </c:pt>
                <c:pt idx="4">
                  <c:v>1.1263073209975909</c:v>
                </c:pt>
                <c:pt idx="5">
                  <c:v>8.7174348697394812</c:v>
                </c:pt>
                <c:pt idx="6">
                  <c:v>1.9159911569639076</c:v>
                </c:pt>
                <c:pt idx="7">
                  <c:v>1.156462585034006</c:v>
                </c:pt>
                <c:pt idx="8">
                  <c:v>2.0408163265306083</c:v>
                </c:pt>
                <c:pt idx="9">
                  <c:v>0.2668445630420318</c:v>
                </c:pt>
                <c:pt idx="10">
                  <c:v>0.21276595744681659</c:v>
                </c:pt>
                <c:pt idx="11">
                  <c:v>0.98383696416020883</c:v>
                </c:pt>
                <c:pt idx="12">
                  <c:v>2.5276461295418775</c:v>
                </c:pt>
                <c:pt idx="13">
                  <c:v>0.84925690021230604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F9-4FBD-B58D-8413E8CA8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518607"/>
        <c:axId val="12951943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'Question 2'!$AN$2</c15:sqref>
                        </c15:formulaRef>
                      </c:ext>
                    </c:extLst>
                    <c:strCache>
                      <c:ptCount val="1"/>
                      <c:pt idx="0">
                        <c:v>November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'Question 2'!$AM$3:$AM$28</c15:sqref>
                        </c15:fullRef>
                        <c15:formulaRef>
                          <c15:sqref>('Question 2'!$AM$3:$AM$7,'Question 2'!$AM$9:$AM$10,'Question 2'!$AM$12,'Question 2'!$AM$15,'Question 2'!$AM$17:$AM$18,'Question 2'!$AM$21,'Question 2'!$AM$24,'Question 2'!$AM$28)</c15:sqref>
                        </c15:formulaRef>
                      </c:ext>
                    </c:extLst>
                    <c:strCache>
                      <c:ptCount val="14"/>
                      <c:pt idx="0">
                        <c:v>Cereals and products</c:v>
                      </c:pt>
                      <c:pt idx="1">
                        <c:v>Meat and fish</c:v>
                      </c:pt>
                      <c:pt idx="2">
                        <c:v>Egg</c:v>
                      </c:pt>
                      <c:pt idx="3">
                        <c:v>Milk and products</c:v>
                      </c:pt>
                      <c:pt idx="4">
                        <c:v>Oils and fats</c:v>
                      </c:pt>
                      <c:pt idx="5">
                        <c:v>Vegetables</c:v>
                      </c:pt>
                      <c:pt idx="6">
                        <c:v>Pulses and products</c:v>
                      </c:pt>
                      <c:pt idx="7">
                        <c:v>Spices</c:v>
                      </c:pt>
                      <c:pt idx="8">
                        <c:v>Food and beverages</c:v>
                      </c:pt>
                      <c:pt idx="9">
                        <c:v>Clothing</c:v>
                      </c:pt>
                      <c:pt idx="10">
                        <c:v>Footwear</c:v>
                      </c:pt>
                      <c:pt idx="11">
                        <c:v>Fuel and light</c:v>
                      </c:pt>
                      <c:pt idx="12">
                        <c:v>Transport and communication</c:v>
                      </c:pt>
                      <c:pt idx="13">
                        <c:v>Miscellaneous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'Question 2'!$AN$3:$AN$28</c15:sqref>
                        </c15:fullRef>
                        <c15:formulaRef>
                          <c15:sqref>('Question 2'!$AN$3:$AN$7,'Question 2'!$AN$9:$AN$10,'Question 2'!$AN$12,'Question 2'!$AN$15,'Question 2'!$AN$17:$AN$18,'Question 2'!$AN$21,'Question 2'!$AN$24,'Question 2'!$AN$28)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142.5</c:v>
                      </c:pt>
                      <c:pt idx="1">
                        <c:v>163.19999999999999</c:v>
                      </c:pt>
                      <c:pt idx="2">
                        <c:v>145.6</c:v>
                      </c:pt>
                      <c:pt idx="3">
                        <c:v>146.69999999999999</c:v>
                      </c:pt>
                      <c:pt idx="4">
                        <c:v>124.3</c:v>
                      </c:pt>
                      <c:pt idx="5">
                        <c:v>199.6</c:v>
                      </c:pt>
                      <c:pt idx="6">
                        <c:v>135.69999999999999</c:v>
                      </c:pt>
                      <c:pt idx="7">
                        <c:v>147</c:v>
                      </c:pt>
                      <c:pt idx="8">
                        <c:v>151.9</c:v>
                      </c:pt>
                      <c:pt idx="9">
                        <c:v>149.9</c:v>
                      </c:pt>
                      <c:pt idx="10">
                        <c:v>141</c:v>
                      </c:pt>
                      <c:pt idx="11">
                        <c:v>142.30000000000001</c:v>
                      </c:pt>
                      <c:pt idx="12">
                        <c:v>126.6</c:v>
                      </c:pt>
                      <c:pt idx="13">
                        <c:v>141.30000000000001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AF9-4FBD-B58D-8413E8CA8CC9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'Question 2'!$AO$2</c15:sqref>
                        </c15:formulaRef>
                      </c:ext>
                    </c:extLst>
                    <c:strCache>
                      <c:ptCount val="1"/>
                      <c:pt idx="0">
                        <c:v>December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'Question 2'!$AM$3:$AM$28</c15:sqref>
                        </c15:fullRef>
                        <c15:formulaRef>
                          <c15:sqref>('Question 2'!$AM$3:$AM$7,'Question 2'!$AM$9:$AM$10,'Question 2'!$AM$12,'Question 2'!$AM$15,'Question 2'!$AM$17:$AM$18,'Question 2'!$AM$21,'Question 2'!$AM$24,'Question 2'!$AM$28)</c15:sqref>
                        </c15:formulaRef>
                      </c:ext>
                    </c:extLst>
                    <c:strCache>
                      <c:ptCount val="14"/>
                      <c:pt idx="0">
                        <c:v>Cereals and products</c:v>
                      </c:pt>
                      <c:pt idx="1">
                        <c:v>Meat and fish</c:v>
                      </c:pt>
                      <c:pt idx="2">
                        <c:v>Egg</c:v>
                      </c:pt>
                      <c:pt idx="3">
                        <c:v>Milk and products</c:v>
                      </c:pt>
                      <c:pt idx="4">
                        <c:v>Oils and fats</c:v>
                      </c:pt>
                      <c:pt idx="5">
                        <c:v>Vegetables</c:v>
                      </c:pt>
                      <c:pt idx="6">
                        <c:v>Pulses and products</c:v>
                      </c:pt>
                      <c:pt idx="7">
                        <c:v>Spices</c:v>
                      </c:pt>
                      <c:pt idx="8">
                        <c:v>Food and beverages</c:v>
                      </c:pt>
                      <c:pt idx="9">
                        <c:v>Clothing</c:v>
                      </c:pt>
                      <c:pt idx="10">
                        <c:v>Footwear</c:v>
                      </c:pt>
                      <c:pt idx="11">
                        <c:v>Fuel and light</c:v>
                      </c:pt>
                      <c:pt idx="12">
                        <c:v>Transport and communication</c:v>
                      </c:pt>
                      <c:pt idx="13">
                        <c:v>Miscellaneous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'Question 2'!$AO$3:$AO$28</c15:sqref>
                        </c15:fullRef>
                        <c15:formulaRef>
                          <c15:sqref>('Question 2'!$AO$3:$AO$7,'Question 2'!$AO$9:$AO$10,'Question 2'!$AO$12,'Question 2'!$AO$15,'Question 2'!$AO$17:$AO$18,'Question 2'!$AO$21,'Question 2'!$AO$24,'Question 2'!$AO$28)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143.5</c:v>
                      </c:pt>
                      <c:pt idx="1">
                        <c:v>165</c:v>
                      </c:pt>
                      <c:pt idx="2">
                        <c:v>151.1</c:v>
                      </c:pt>
                      <c:pt idx="3">
                        <c:v>148.30000000000001</c:v>
                      </c:pt>
                      <c:pt idx="4">
                        <c:v>125.7</c:v>
                      </c:pt>
                      <c:pt idx="5">
                        <c:v>217</c:v>
                      </c:pt>
                      <c:pt idx="6">
                        <c:v>138.30000000000001</c:v>
                      </c:pt>
                      <c:pt idx="7">
                        <c:v>148.69999999999999</c:v>
                      </c:pt>
                      <c:pt idx="8">
                        <c:v>155</c:v>
                      </c:pt>
                      <c:pt idx="9">
                        <c:v>150.30000000000001</c:v>
                      </c:pt>
                      <c:pt idx="10">
                        <c:v>141.30000000000001</c:v>
                      </c:pt>
                      <c:pt idx="11">
                        <c:v>143.69999999999999</c:v>
                      </c:pt>
                      <c:pt idx="12">
                        <c:v>129.80000000000001</c:v>
                      </c:pt>
                      <c:pt idx="13">
                        <c:v>142.5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AF9-4FBD-B58D-8413E8CA8CC9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'Question 2'!$AP$2</c15:sqref>
                        </c15:formulaRef>
                      </c:ext>
                    </c:extLst>
                    <c:strCache>
                      <c:ptCount val="1"/>
                      <c:pt idx="0">
                        <c:v>Inflation Difference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'Question 2'!$AM$3:$AM$28</c15:sqref>
                        </c15:fullRef>
                        <c15:formulaRef>
                          <c15:sqref>('Question 2'!$AM$3:$AM$7,'Question 2'!$AM$9:$AM$10,'Question 2'!$AM$12,'Question 2'!$AM$15,'Question 2'!$AM$17:$AM$18,'Question 2'!$AM$21,'Question 2'!$AM$24,'Question 2'!$AM$28)</c15:sqref>
                        </c15:formulaRef>
                      </c:ext>
                    </c:extLst>
                    <c:strCache>
                      <c:ptCount val="14"/>
                      <c:pt idx="0">
                        <c:v>Cereals and products</c:v>
                      </c:pt>
                      <c:pt idx="1">
                        <c:v>Meat and fish</c:v>
                      </c:pt>
                      <c:pt idx="2">
                        <c:v>Egg</c:v>
                      </c:pt>
                      <c:pt idx="3">
                        <c:v>Milk and products</c:v>
                      </c:pt>
                      <c:pt idx="4">
                        <c:v>Oils and fats</c:v>
                      </c:pt>
                      <c:pt idx="5">
                        <c:v>Vegetables</c:v>
                      </c:pt>
                      <c:pt idx="6">
                        <c:v>Pulses and products</c:v>
                      </c:pt>
                      <c:pt idx="7">
                        <c:v>Spices</c:v>
                      </c:pt>
                      <c:pt idx="8">
                        <c:v>Food and beverages</c:v>
                      </c:pt>
                      <c:pt idx="9">
                        <c:v>Clothing</c:v>
                      </c:pt>
                      <c:pt idx="10">
                        <c:v>Footwear</c:v>
                      </c:pt>
                      <c:pt idx="11">
                        <c:v>Fuel and light</c:v>
                      </c:pt>
                      <c:pt idx="12">
                        <c:v>Transport and communication</c:v>
                      </c:pt>
                      <c:pt idx="13">
                        <c:v>Miscellaneous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'Question 2'!$AP$3:$AP$28</c15:sqref>
                        </c15:fullRef>
                        <c15:formulaRef>
                          <c15:sqref>('Question 2'!$AP$3:$AP$7,'Question 2'!$AP$9:$AP$10,'Question 2'!$AP$12,'Question 2'!$AP$15,'Question 2'!$AP$17:$AP$18,'Question 2'!$AP$21,'Question 2'!$AP$24,'Question 2'!$AP$28)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1</c:v>
                      </c:pt>
                      <c:pt idx="1">
                        <c:v>1.8000000000000114</c:v>
                      </c:pt>
                      <c:pt idx="2">
                        <c:v>5.5</c:v>
                      </c:pt>
                      <c:pt idx="3">
                        <c:v>1.6000000000000227</c:v>
                      </c:pt>
                      <c:pt idx="4">
                        <c:v>1.4000000000000057</c:v>
                      </c:pt>
                      <c:pt idx="5">
                        <c:v>17.400000000000006</c:v>
                      </c:pt>
                      <c:pt idx="6">
                        <c:v>2.6000000000000227</c:v>
                      </c:pt>
                      <c:pt idx="7">
                        <c:v>1.6999999999999886</c:v>
                      </c:pt>
                      <c:pt idx="8">
                        <c:v>3.0999999999999943</c:v>
                      </c:pt>
                      <c:pt idx="9">
                        <c:v>0.40000000000000568</c:v>
                      </c:pt>
                      <c:pt idx="10">
                        <c:v>0.30000000000001137</c:v>
                      </c:pt>
                      <c:pt idx="11">
                        <c:v>1.3999999999999773</c:v>
                      </c:pt>
                      <c:pt idx="12">
                        <c:v>3.2000000000000171</c:v>
                      </c:pt>
                      <c:pt idx="13">
                        <c:v>1.1999999999999886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AF9-4FBD-B58D-8413E8CA8CC9}"/>
                  </c:ext>
                </c:extLst>
              </c15:ser>
            </c15:filteredBarSeries>
          </c:ext>
        </c:extLst>
      </c:barChart>
      <c:catAx>
        <c:axId val="129518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19439"/>
        <c:crosses val="autoZero"/>
        <c:auto val="1"/>
        <c:lblAlgn val="ctr"/>
        <c:lblOffset val="100"/>
        <c:noMultiLvlLbl val="0"/>
      </c:catAx>
      <c:valAx>
        <c:axId val="129519439"/>
        <c:scaling>
          <c:orientation val="minMax"/>
          <c:max val="25"/>
          <c:min val="0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18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Biggest</a:t>
            </a:r>
            <a:r>
              <a:rPr lang="en-IN" baseline="0"/>
              <a:t> Contribution in inflation between June 2022 to May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948603970433729E-2"/>
          <c:y val="9.5365992839254024E-2"/>
          <c:w val="0.6769336103282203"/>
          <c:h val="0.878096543937072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'Question 3'!$AH$3</c:f>
              <c:strCache>
                <c:ptCount val="1"/>
                <c:pt idx="0">
                  <c:v>Cereals and products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'Question 3'!$AK$2</c:f>
              <c:strCache>
                <c:ptCount val="1"/>
                <c:pt idx="0">
                  <c:v>Inflation</c:v>
                </c:pt>
              </c:strCache>
              <c:extLst/>
            </c:strRef>
          </c:cat>
          <c:val>
            <c:numRef>
              <c:f>'Question 3'!$AK$3</c:f>
              <c:numCache>
                <c:formatCode>0.00</c:formatCode>
                <c:ptCount val="1"/>
                <c:pt idx="0">
                  <c:v>12.064516129032251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6F5A-4BDC-95EC-FF6F20EA3D45}"/>
            </c:ext>
          </c:extLst>
        </c:ser>
        <c:ser>
          <c:idx val="1"/>
          <c:order val="1"/>
          <c:tx>
            <c:strRef>
              <c:f>'Question 3'!$AH$4</c:f>
              <c:strCache>
                <c:ptCount val="1"/>
                <c:pt idx="0">
                  <c:v>Meat and fish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'Question 3'!$AK$2</c:f>
              <c:strCache>
                <c:ptCount val="1"/>
                <c:pt idx="0">
                  <c:v>Inflation</c:v>
                </c:pt>
              </c:strCache>
              <c:extLst/>
            </c:strRef>
          </c:cat>
          <c:val>
            <c:numRef>
              <c:f>'Question 3'!$AK$4</c:f>
              <c:numCache>
                <c:formatCode>0.00</c:formatCode>
                <c:ptCount val="1"/>
                <c:pt idx="0">
                  <c:v>-2.3245214220601613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6F5A-4BDC-95EC-FF6F20EA3D45}"/>
            </c:ext>
          </c:extLst>
        </c:ser>
        <c:ser>
          <c:idx val="2"/>
          <c:order val="2"/>
          <c:tx>
            <c:strRef>
              <c:f>'Question 3'!$AH$5</c:f>
              <c:strCache>
                <c:ptCount val="1"/>
                <c:pt idx="0">
                  <c:v>Egg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'Question 3'!$AK$2</c:f>
              <c:strCache>
                <c:ptCount val="1"/>
                <c:pt idx="0">
                  <c:v>Inflation</c:v>
                </c:pt>
              </c:strCache>
              <c:extLst/>
            </c:strRef>
          </c:cat>
          <c:val>
            <c:numRef>
              <c:f>'Question 3'!$AK$5</c:f>
              <c:numCache>
                <c:formatCode>0.00</c:formatCode>
                <c:ptCount val="1"/>
                <c:pt idx="0">
                  <c:v>1.4051522248243427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2-6F5A-4BDC-95EC-FF6F20EA3D45}"/>
            </c:ext>
          </c:extLst>
        </c:ser>
        <c:ser>
          <c:idx val="3"/>
          <c:order val="3"/>
          <c:tx>
            <c:strRef>
              <c:f>'Question 3'!$AH$6</c:f>
              <c:strCache>
                <c:ptCount val="1"/>
                <c:pt idx="0">
                  <c:v>Milk and products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'Question 3'!$AK$2</c:f>
              <c:strCache>
                <c:ptCount val="1"/>
                <c:pt idx="0">
                  <c:v>Inflation</c:v>
                </c:pt>
              </c:strCache>
              <c:extLst/>
            </c:strRef>
          </c:cat>
          <c:val>
            <c:numRef>
              <c:f>'Question 3'!$AK$6</c:f>
              <c:numCache>
                <c:formatCode>0.00</c:formatCode>
                <c:ptCount val="1"/>
                <c:pt idx="0">
                  <c:v>8.2629674306393177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3-6F5A-4BDC-95EC-FF6F20EA3D45}"/>
            </c:ext>
          </c:extLst>
        </c:ser>
        <c:ser>
          <c:idx val="4"/>
          <c:order val="4"/>
          <c:tx>
            <c:strRef>
              <c:f>'Question 3'!$AH$7</c:f>
              <c:strCache>
                <c:ptCount val="1"/>
                <c:pt idx="0">
                  <c:v>Oils and fats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'Question 3'!$AK$2</c:f>
              <c:strCache>
                <c:ptCount val="1"/>
                <c:pt idx="0">
                  <c:v>Inflation</c:v>
                </c:pt>
              </c:strCache>
              <c:extLst/>
            </c:strRef>
          </c:cat>
          <c:val>
            <c:numRef>
              <c:f>'Question 3'!$AK$7</c:f>
              <c:numCache>
                <c:formatCode>0.00</c:formatCode>
                <c:ptCount val="1"/>
                <c:pt idx="0">
                  <c:v>-15.380786460925835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4-6F5A-4BDC-95EC-FF6F20EA3D45}"/>
            </c:ext>
          </c:extLst>
        </c:ser>
        <c:ser>
          <c:idx val="5"/>
          <c:order val="5"/>
          <c:tx>
            <c:strRef>
              <c:f>'Question 3'!$AH$8</c:f>
              <c:strCache>
                <c:ptCount val="1"/>
                <c:pt idx="0">
                  <c:v>Fruits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'Question 3'!$AK$2</c:f>
              <c:strCache>
                <c:ptCount val="1"/>
                <c:pt idx="0">
                  <c:v>Inflation</c:v>
                </c:pt>
              </c:strCache>
              <c:extLst/>
            </c:strRef>
          </c:cat>
          <c:val>
            <c:numRef>
              <c:f>'Question 3'!$AK$8</c:f>
              <c:numCache>
                <c:formatCode>0.00</c:formatCode>
                <c:ptCount val="1"/>
                <c:pt idx="0">
                  <c:v>1.4731879787860933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5-6F5A-4BDC-95EC-FF6F20EA3D45}"/>
            </c:ext>
          </c:extLst>
        </c:ser>
        <c:ser>
          <c:idx val="6"/>
          <c:order val="6"/>
          <c:tx>
            <c:strRef>
              <c:f>'Question 3'!$AH$9</c:f>
              <c:strCache>
                <c:ptCount val="1"/>
                <c:pt idx="0">
                  <c:v>Vegetables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'Question 3'!$AK$2</c:f>
              <c:strCache>
                <c:ptCount val="1"/>
                <c:pt idx="0">
                  <c:v>Inflation</c:v>
                </c:pt>
              </c:strCache>
              <c:extLst/>
            </c:strRef>
          </c:cat>
          <c:val>
            <c:numRef>
              <c:f>'Question 3'!$AK$9</c:f>
              <c:numCache>
                <c:formatCode>0.00</c:formatCode>
                <c:ptCount val="1"/>
                <c:pt idx="0">
                  <c:v>-11.684037301151953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6-6F5A-4BDC-95EC-FF6F20EA3D45}"/>
            </c:ext>
          </c:extLst>
        </c:ser>
        <c:ser>
          <c:idx val="7"/>
          <c:order val="7"/>
          <c:tx>
            <c:strRef>
              <c:f>'Question 3'!$AH$10</c:f>
              <c:strCache>
                <c:ptCount val="1"/>
                <c:pt idx="0">
                  <c:v>Pulses and products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'Question 3'!$AK$2</c:f>
              <c:strCache>
                <c:ptCount val="1"/>
                <c:pt idx="0">
                  <c:v>Inflation</c:v>
                </c:pt>
              </c:strCache>
              <c:extLst/>
            </c:strRef>
          </c:cat>
          <c:val>
            <c:numRef>
              <c:f>'Question 3'!$AK$10</c:f>
              <c:numCache>
                <c:formatCode>0.00</c:formatCode>
                <c:ptCount val="1"/>
                <c:pt idx="0">
                  <c:v>6.8776628119293877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7-6F5A-4BDC-95EC-FF6F20EA3D45}"/>
            </c:ext>
          </c:extLst>
        </c:ser>
        <c:ser>
          <c:idx val="8"/>
          <c:order val="8"/>
          <c:tx>
            <c:strRef>
              <c:f>'Question 3'!$AH$11</c:f>
              <c:strCache>
                <c:ptCount val="1"/>
                <c:pt idx="0">
                  <c:v>Sugar and Confectionery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'Question 3'!$AK$2</c:f>
              <c:strCache>
                <c:ptCount val="1"/>
                <c:pt idx="0">
                  <c:v>Inflation</c:v>
                </c:pt>
              </c:strCache>
              <c:extLst/>
            </c:strRef>
          </c:cat>
          <c:val>
            <c:numRef>
              <c:f>'Question 3'!$AK$11</c:f>
              <c:numCache>
                <c:formatCode>0.00</c:formatCode>
                <c:ptCount val="1"/>
                <c:pt idx="0">
                  <c:v>2.3352793994995804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8-6F5A-4BDC-95EC-FF6F20EA3D45}"/>
            </c:ext>
          </c:extLst>
        </c:ser>
        <c:ser>
          <c:idx val="9"/>
          <c:order val="9"/>
          <c:tx>
            <c:strRef>
              <c:f>'Question 3'!$AH$12</c:f>
              <c:strCache>
                <c:ptCount val="1"/>
                <c:pt idx="0">
                  <c:v>Spices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'Question 3'!$AK$2</c:f>
              <c:strCache>
                <c:ptCount val="1"/>
                <c:pt idx="0">
                  <c:v>Inflation</c:v>
                </c:pt>
              </c:strCache>
              <c:extLst/>
            </c:strRef>
          </c:cat>
          <c:val>
            <c:numRef>
              <c:f>'Question 3'!$AK$12</c:f>
              <c:numCache>
                <c:formatCode>0.00</c:formatCode>
                <c:ptCount val="1"/>
                <c:pt idx="0">
                  <c:v>16.515232495991452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9-6F5A-4BDC-95EC-FF6F20EA3D45}"/>
            </c:ext>
          </c:extLst>
        </c:ser>
        <c:ser>
          <c:idx val="11"/>
          <c:order val="11"/>
          <c:tx>
            <c:strRef>
              <c:f>'Question 3'!$AH$13</c:f>
              <c:strCache>
                <c:ptCount val="1"/>
                <c:pt idx="0">
                  <c:v>Prepared meals, snacks, sweets etc.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'Question 3'!$AK$2</c:f>
              <c:strCache>
                <c:ptCount val="1"/>
                <c:pt idx="0">
                  <c:v>Inflation</c:v>
                </c:pt>
              </c:strCache>
              <c:extLst/>
            </c:strRef>
          </c:cat>
          <c:val>
            <c:numRef>
              <c:f>'Question 3'!$AK$13</c:f>
              <c:numCache>
                <c:formatCode>0.00</c:formatCode>
                <c:ptCount val="1"/>
                <c:pt idx="0">
                  <c:v>5.6008700380641558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B-6F5A-4BDC-95EC-FF6F20EA3D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34055183"/>
        <c:axId val="2034054767"/>
        <c:extLst>
          <c:ext xmlns:c15="http://schemas.microsoft.com/office/drawing/2012/chart" uri="{02D57815-91ED-43cb-92C2-25804820EDAC}">
            <c15:filteredBarSeries>
              <c15:ser>
                <c:idx val="10"/>
                <c:order val="10"/>
                <c:tx>
                  <c:strRef>
                    <c:extLst>
                      <c:ext uri="{02D57815-91ED-43cb-92C2-25804820EDAC}">
                        <c15:formulaRef>
                          <c15:sqref>'Question 3'!#REF!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'Question 3'!$AK$2</c15:sqref>
                        </c15:formulaRef>
                      </c:ext>
                    </c:extLst>
                    <c:strCache>
                      <c:ptCount val="1"/>
                      <c:pt idx="0">
                        <c:v>Inflation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'Question 3'!#REF!</c15:sqref>
                        </c15:formulaRef>
                      </c:ext>
                    </c:extLst>
                  </c:numRef>
                </c:val>
                <c:extLst>
                  <c:ext xmlns:c16="http://schemas.microsoft.com/office/drawing/2014/chart" uri="{C3380CC4-5D6E-409C-BE32-E72D297353CC}">
                    <c16:uniqueId val="{0000000A-6F5A-4BDC-95EC-FF6F20EA3D45}"/>
                  </c:ext>
                </c:extLst>
              </c15:ser>
            </c15:filteredBarSeries>
          </c:ext>
        </c:extLst>
      </c:barChart>
      <c:catAx>
        <c:axId val="20340551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34054767"/>
        <c:crosses val="autoZero"/>
        <c:auto val="1"/>
        <c:lblAlgn val="ctr"/>
        <c:lblOffset val="100"/>
        <c:noMultiLvlLbl val="0"/>
      </c:catAx>
      <c:valAx>
        <c:axId val="203405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055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79403724563426"/>
          <c:y val="0.11885991106815472"/>
          <c:w val="0.2288247326490441"/>
          <c:h val="0.659821254893379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Inflation in Rural</a:t>
            </a:r>
            <a:r>
              <a:rPr lang="en-US" baseline="0"/>
              <a:t> Sector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21083463789521E-2"/>
          <c:y val="7.4496109870940561E-2"/>
          <c:w val="0.92878916536210476"/>
          <c:h val="0.87890964098841462"/>
        </c:manualLayout>
      </c:layout>
      <c:lineChart>
        <c:grouping val="standard"/>
        <c:varyColors val="0"/>
        <c:ser>
          <c:idx val="0"/>
          <c:order val="0"/>
          <c:tx>
            <c:strRef>
              <c:f>'Question 4'!$AQ$17</c:f>
              <c:strCache>
                <c:ptCount val="1"/>
                <c:pt idx="0">
                  <c:v>Inflation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4'!$AP$18:$AP$21</c:f>
              <c:strCache>
                <c:ptCount val="4"/>
                <c:pt idx="0">
                  <c:v>2018-2019</c:v>
                </c:pt>
                <c:pt idx="1">
                  <c:v>2019-2020</c:v>
                </c:pt>
                <c:pt idx="2">
                  <c:v>2020-2021</c:v>
                </c:pt>
                <c:pt idx="3">
                  <c:v>2021-2022</c:v>
                </c:pt>
              </c:strCache>
            </c:strRef>
          </c:cat>
          <c:val>
            <c:numRef>
              <c:f>'Question 4'!$AQ$18:$AQ$21</c:f>
              <c:numCache>
                <c:formatCode>0.0%</c:formatCode>
                <c:ptCount val="4"/>
                <c:pt idx="0">
                  <c:v>1.6312056737588732E-2</c:v>
                </c:pt>
                <c:pt idx="1">
                  <c:v>6.1170212765957556E-2</c:v>
                </c:pt>
                <c:pt idx="2">
                  <c:v>4.4033184428844782E-2</c:v>
                </c:pt>
                <c:pt idx="3">
                  <c:v>6.5797273266152909E-2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4A-4419-BB1A-7FA2B7C1ED0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18974928"/>
        <c:axId val="707748432"/>
      </c:lineChart>
      <c:catAx>
        <c:axId val="71897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748432"/>
        <c:crosses val="autoZero"/>
        <c:auto val="1"/>
        <c:lblAlgn val="ctr"/>
        <c:lblOffset val="100"/>
        <c:noMultiLvlLbl val="0"/>
      </c:catAx>
      <c:valAx>
        <c:axId val="707748432"/>
        <c:scaling>
          <c:orientation val="minMax"/>
          <c:max val="0.1500000000000000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97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Inflation in Urban Sector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950853189804837E-2"/>
          <c:y val="7.354690497982469E-2"/>
          <c:w val="0.93475822089751526"/>
          <c:h val="0.88359108697436961"/>
        </c:manualLayout>
      </c:layout>
      <c:lineChart>
        <c:grouping val="standard"/>
        <c:varyColors val="0"/>
        <c:ser>
          <c:idx val="0"/>
          <c:order val="0"/>
          <c:tx>
            <c:strRef>
              <c:f>'Question 4'!$AT$17</c:f>
              <c:strCache>
                <c:ptCount val="1"/>
                <c:pt idx="0">
                  <c:v>Inflation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4'!$AS$18:$AS$21</c:f>
              <c:strCache>
                <c:ptCount val="4"/>
                <c:pt idx="0">
                  <c:v>2018-2019</c:v>
                </c:pt>
                <c:pt idx="1">
                  <c:v>2019-2020</c:v>
                </c:pt>
                <c:pt idx="2">
                  <c:v>2020-2021</c:v>
                </c:pt>
                <c:pt idx="3">
                  <c:v>2021-2022</c:v>
                </c:pt>
              </c:strCache>
            </c:strRef>
          </c:cat>
          <c:val>
            <c:numRef>
              <c:f>'Question 4'!$AT$18:$AT$21</c:f>
              <c:numCache>
                <c:formatCode>0.0%</c:formatCode>
                <c:ptCount val="4"/>
                <c:pt idx="0">
                  <c:v>3.318903318903315E-2</c:v>
                </c:pt>
                <c:pt idx="1">
                  <c:v>5.5517941773865868E-2</c:v>
                </c:pt>
                <c:pt idx="2">
                  <c:v>6.1185468451242793E-2</c:v>
                </c:pt>
                <c:pt idx="3">
                  <c:v>5.7657657657657624E-2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1D-4C6F-97CA-5D8D76DB2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4510208"/>
        <c:axId val="874512288"/>
      </c:lineChart>
      <c:catAx>
        <c:axId val="87451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512288"/>
        <c:crosses val="autoZero"/>
        <c:auto val="1"/>
        <c:lblAlgn val="ctr"/>
        <c:lblOffset val="100"/>
        <c:noMultiLvlLbl val="0"/>
      </c:catAx>
      <c:valAx>
        <c:axId val="874512288"/>
        <c:scaling>
          <c:orientation val="minMax"/>
          <c:max val="0.1500000000000000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510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Inflation</a:t>
            </a:r>
            <a:r>
              <a:rPr lang="en-US" baseline="0"/>
              <a:t>  in Both Sectors (Rural+Urban)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4'!$AW$17</c:f>
              <c:strCache>
                <c:ptCount val="1"/>
                <c:pt idx="0">
                  <c:v>Inflation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4'!$AV$18:$AV$21</c:f>
              <c:strCache>
                <c:ptCount val="4"/>
                <c:pt idx="0">
                  <c:v>2018-2019</c:v>
                </c:pt>
                <c:pt idx="1">
                  <c:v>2019-2020</c:v>
                </c:pt>
                <c:pt idx="2">
                  <c:v>2020-2021</c:v>
                </c:pt>
                <c:pt idx="3">
                  <c:v>2021-2022</c:v>
                </c:pt>
              </c:strCache>
            </c:strRef>
          </c:cat>
          <c:val>
            <c:numRef>
              <c:f>'Question 4'!$AW$18:$AW$21</c:f>
              <c:numCache>
                <c:formatCode>0.0%</c:formatCode>
                <c:ptCount val="4"/>
                <c:pt idx="0">
                  <c:v>2.4303073624017194E-2</c:v>
                </c:pt>
                <c:pt idx="1">
                  <c:v>5.8350100603621655E-2</c:v>
                </c:pt>
                <c:pt idx="2">
                  <c:v>5.2295918367347045E-2</c:v>
                </c:pt>
                <c:pt idx="3">
                  <c:v>6.4997018485390454E-2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12-41B9-B3E4-7EEEC7629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6394496"/>
        <c:axId val="956394912"/>
      </c:lineChart>
      <c:catAx>
        <c:axId val="95639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394912"/>
        <c:crosses val="autoZero"/>
        <c:auto val="1"/>
        <c:lblAlgn val="ctr"/>
        <c:lblOffset val="100"/>
        <c:noMultiLvlLbl val="0"/>
      </c:catAx>
      <c:valAx>
        <c:axId val="956394912"/>
        <c:scaling>
          <c:orientation val="minMax"/>
          <c:max val="0.1500000000000000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394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Inflation</a:t>
            </a:r>
            <a:r>
              <a:rPr lang="en-IN" baseline="0"/>
              <a:t> in Rural Sector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101698796699604E-2"/>
          <c:y val="0.14261525310402612"/>
          <c:w val="0.91810701805585615"/>
          <c:h val="0.81438964732169306"/>
        </c:manualLayout>
      </c:layout>
      <c:lineChart>
        <c:grouping val="standard"/>
        <c:varyColors val="0"/>
        <c:ser>
          <c:idx val="0"/>
          <c:order val="0"/>
          <c:tx>
            <c:strRef>
              <c:f>'Question 4'!$BC$34</c:f>
              <c:strCache>
                <c:ptCount val="1"/>
                <c:pt idx="0">
                  <c:v>Food and beverages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4'!$BB$35:$BB$38</c:f>
              <c:strCache>
                <c:ptCount val="4"/>
                <c:pt idx="0">
                  <c:v>2018-2019</c:v>
                </c:pt>
                <c:pt idx="1">
                  <c:v>2019-2020</c:v>
                </c:pt>
                <c:pt idx="2">
                  <c:v>2020-2021</c:v>
                </c:pt>
                <c:pt idx="3">
                  <c:v>2021-2022</c:v>
                </c:pt>
              </c:strCache>
            </c:strRef>
          </c:cat>
          <c:val>
            <c:numRef>
              <c:f>'Question 4'!$BC$35:$BC$38</c:f>
              <c:numCache>
                <c:formatCode>0.0%</c:formatCode>
                <c:ptCount val="4"/>
                <c:pt idx="0">
                  <c:v>-1.0101010101010142E-2</c:v>
                </c:pt>
                <c:pt idx="1">
                  <c:v>9.1041514930808434E-2</c:v>
                </c:pt>
                <c:pt idx="2">
                  <c:v>4.2510121457489961E-2</c:v>
                </c:pt>
                <c:pt idx="3">
                  <c:v>7.0694087403598976E-2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D2-4C77-9586-2EF39C6C26E9}"/>
            </c:ext>
          </c:extLst>
        </c:ser>
        <c:ser>
          <c:idx val="1"/>
          <c:order val="1"/>
          <c:tx>
            <c:strRef>
              <c:f>'Question 4'!$BD$34</c:f>
              <c:strCache>
                <c:ptCount val="1"/>
                <c:pt idx="0">
                  <c:v>Pan, tobacco and intoxicants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4'!$BB$35:$BB$38</c:f>
              <c:strCache>
                <c:ptCount val="4"/>
                <c:pt idx="0">
                  <c:v>2018-2019</c:v>
                </c:pt>
                <c:pt idx="1">
                  <c:v>2019-2020</c:v>
                </c:pt>
                <c:pt idx="2">
                  <c:v>2020-2021</c:v>
                </c:pt>
                <c:pt idx="3">
                  <c:v>2021-2022</c:v>
                </c:pt>
              </c:strCache>
            </c:strRef>
          </c:cat>
          <c:val>
            <c:numRef>
              <c:f>'Question 4'!$BD$35:$BD$38</c:f>
              <c:numCache>
                <c:formatCode>0.0%</c:formatCode>
                <c:ptCount val="4"/>
                <c:pt idx="0">
                  <c:v>4.9645390070922099E-2</c:v>
                </c:pt>
                <c:pt idx="1">
                  <c:v>3.9901780233271941E-2</c:v>
                </c:pt>
                <c:pt idx="2">
                  <c:v>9.1495601173020497E-2</c:v>
                </c:pt>
                <c:pt idx="3">
                  <c:v>2.9443254817987149E-2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D2-4C77-9586-2EF39C6C26E9}"/>
            </c:ext>
          </c:extLst>
        </c:ser>
        <c:ser>
          <c:idx val="2"/>
          <c:order val="2"/>
          <c:tx>
            <c:strRef>
              <c:f>'Question 4'!$BE$34</c:f>
              <c:strCache>
                <c:ptCount val="1"/>
                <c:pt idx="0">
                  <c:v>Clothing and footwear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4'!$BB$35:$BB$38</c:f>
              <c:strCache>
                <c:ptCount val="4"/>
                <c:pt idx="0">
                  <c:v>2018-2019</c:v>
                </c:pt>
                <c:pt idx="1">
                  <c:v>2019-2020</c:v>
                </c:pt>
                <c:pt idx="2">
                  <c:v>2020-2021</c:v>
                </c:pt>
                <c:pt idx="3">
                  <c:v>2021-2022</c:v>
                </c:pt>
              </c:strCache>
            </c:strRef>
          </c:cat>
          <c:val>
            <c:numRef>
              <c:f>'Question 4'!$BE$35:$BE$38</c:f>
              <c:numCache>
                <c:formatCode>0.0%</c:formatCode>
                <c:ptCount val="4"/>
                <c:pt idx="0">
                  <c:v>1.0788941335131452E-2</c:v>
                </c:pt>
                <c:pt idx="1">
                  <c:v>1.4656895403064737E-2</c:v>
                </c:pt>
                <c:pt idx="2">
                  <c:v>4.1967213114754133E-2</c:v>
                </c:pt>
                <c:pt idx="3">
                  <c:v>9.5059412132582788E-2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D2-4C77-9586-2EF39C6C26E9}"/>
            </c:ext>
          </c:extLst>
        </c:ser>
        <c:ser>
          <c:idx val="3"/>
          <c:order val="3"/>
          <c:tx>
            <c:strRef>
              <c:f>'Question 4'!$BF$34</c:f>
              <c:strCache>
                <c:ptCount val="1"/>
                <c:pt idx="0">
                  <c:v>Household goods and services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4'!$BB$35:$BB$38</c:f>
              <c:strCache>
                <c:ptCount val="4"/>
                <c:pt idx="0">
                  <c:v>2018-2019</c:v>
                </c:pt>
                <c:pt idx="1">
                  <c:v>2019-2020</c:v>
                </c:pt>
                <c:pt idx="2">
                  <c:v>2020-2021</c:v>
                </c:pt>
                <c:pt idx="3">
                  <c:v>2021-2022</c:v>
                </c:pt>
              </c:strCache>
            </c:strRef>
          </c:cat>
          <c:val>
            <c:numRef>
              <c:f>'Question 4'!$BF$35:$BF$38</c:f>
              <c:numCache>
                <c:formatCode>0.0%</c:formatCode>
                <c:ptCount val="4"/>
                <c:pt idx="0">
                  <c:v>7.2909220872051386E-2</c:v>
                </c:pt>
                <c:pt idx="1">
                  <c:v>1.2000000000000077E-2</c:v>
                </c:pt>
                <c:pt idx="2">
                  <c:v>2.1782178217821857E-2</c:v>
                </c:pt>
                <c:pt idx="3">
                  <c:v>7.0739549839228297E-2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D2-4C77-9586-2EF39C6C26E9}"/>
            </c:ext>
          </c:extLst>
        </c:ser>
        <c:ser>
          <c:idx val="4"/>
          <c:order val="4"/>
          <c:tx>
            <c:strRef>
              <c:f>'Question 4'!$BG$34</c:f>
              <c:strCache>
                <c:ptCount val="1"/>
                <c:pt idx="0">
                  <c:v>Personal care and effects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4'!$BB$35:$BB$38</c:f>
              <c:strCache>
                <c:ptCount val="4"/>
                <c:pt idx="0">
                  <c:v>2018-2019</c:v>
                </c:pt>
                <c:pt idx="1">
                  <c:v>2019-2020</c:v>
                </c:pt>
                <c:pt idx="2">
                  <c:v>2020-2021</c:v>
                </c:pt>
                <c:pt idx="3">
                  <c:v>2021-2022</c:v>
                </c:pt>
              </c:strCache>
            </c:strRef>
          </c:cat>
          <c:val>
            <c:numRef>
              <c:f>'Question 4'!$BG$35:$BG$38</c:f>
              <c:numCache>
                <c:formatCode>0.0%</c:formatCode>
                <c:ptCount val="4"/>
                <c:pt idx="0">
                  <c:v>4.3310131477184793E-2</c:v>
                </c:pt>
                <c:pt idx="1">
                  <c:v>7.0149253731343328E-2</c:v>
                </c:pt>
                <c:pt idx="2">
                  <c:v>5.5134390075809787E-2</c:v>
                </c:pt>
                <c:pt idx="3">
                  <c:v>8.2794307891332547E-2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DD2-4C77-9586-2EF39C6C26E9}"/>
            </c:ext>
          </c:extLst>
        </c:ser>
        <c:ser>
          <c:idx val="5"/>
          <c:order val="5"/>
          <c:tx>
            <c:strRef>
              <c:f>'Question 4'!$BH$34</c:f>
              <c:strCache>
                <c:ptCount val="1"/>
                <c:pt idx="0">
                  <c:v>Miscellaneous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4'!$BB$35:$BB$38</c:f>
              <c:strCache>
                <c:ptCount val="4"/>
                <c:pt idx="0">
                  <c:v>2018-2019</c:v>
                </c:pt>
                <c:pt idx="1">
                  <c:v>2019-2020</c:v>
                </c:pt>
                <c:pt idx="2">
                  <c:v>2020-2021</c:v>
                </c:pt>
                <c:pt idx="3">
                  <c:v>2021-2022</c:v>
                </c:pt>
              </c:strCache>
            </c:strRef>
          </c:cat>
          <c:val>
            <c:numRef>
              <c:f>'Question 4'!$BH$35:$BH$38</c:f>
              <c:numCache>
                <c:formatCode>0.0%</c:formatCode>
                <c:ptCount val="4"/>
                <c:pt idx="0">
                  <c:v>6.6766691672918058E-2</c:v>
                </c:pt>
                <c:pt idx="1">
                  <c:v>4.2134831460674156E-2</c:v>
                </c:pt>
                <c:pt idx="2">
                  <c:v>5.8546433378196615E-2</c:v>
                </c:pt>
                <c:pt idx="3">
                  <c:v>6.5189873417721589E-2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DD2-4C77-9586-2EF39C6C26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05562623"/>
        <c:axId val="2005563871"/>
      </c:lineChart>
      <c:catAx>
        <c:axId val="200556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563871"/>
        <c:crosses val="autoZero"/>
        <c:auto val="1"/>
        <c:lblAlgn val="ctr"/>
        <c:lblOffset val="100"/>
        <c:noMultiLvlLbl val="0"/>
      </c:catAx>
      <c:valAx>
        <c:axId val="2005563871"/>
        <c:scaling>
          <c:orientation val="minMax"/>
          <c:max val="0.15000000000000002"/>
          <c:min val="-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562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inflatio</a:t>
            </a:r>
            <a:r>
              <a:rPr lang="en-IN" baseline="0"/>
              <a:t>n in Urban Sector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4'!$BC$41</c:f>
              <c:strCache>
                <c:ptCount val="1"/>
                <c:pt idx="0">
                  <c:v>Food and beverages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4'!$BB$42:$BB$45</c:f>
              <c:strCache>
                <c:ptCount val="4"/>
                <c:pt idx="0">
                  <c:v>2018-2019</c:v>
                </c:pt>
                <c:pt idx="1">
                  <c:v>2019-2020</c:v>
                </c:pt>
                <c:pt idx="2">
                  <c:v>2020-2021</c:v>
                </c:pt>
                <c:pt idx="3">
                  <c:v>2021-2022</c:v>
                </c:pt>
              </c:strCache>
            </c:strRef>
          </c:cat>
          <c:val>
            <c:numRef>
              <c:f>'Question 4'!$BC$42:$BC$45</c:f>
              <c:numCache>
                <c:formatCode>0.0%</c:formatCode>
                <c:ptCount val="4"/>
                <c:pt idx="0">
                  <c:v>2.3738872403560745E-2</c:v>
                </c:pt>
                <c:pt idx="1">
                  <c:v>8.6676217765042946E-2</c:v>
                </c:pt>
                <c:pt idx="2">
                  <c:v>6.862091938707536E-2</c:v>
                </c:pt>
                <c:pt idx="3">
                  <c:v>5.8641975308641972E-2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E5-4824-A7FC-4D30AA53E2AE}"/>
            </c:ext>
          </c:extLst>
        </c:ser>
        <c:ser>
          <c:idx val="1"/>
          <c:order val="1"/>
          <c:tx>
            <c:strRef>
              <c:f>'Question 4'!$BD$41</c:f>
              <c:strCache>
                <c:ptCount val="1"/>
                <c:pt idx="0">
                  <c:v>Pan, tobacco and intoxicants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4'!$BB$42:$BB$45</c:f>
              <c:strCache>
                <c:ptCount val="4"/>
                <c:pt idx="0">
                  <c:v>2018-2019</c:v>
                </c:pt>
                <c:pt idx="1">
                  <c:v>2019-2020</c:v>
                </c:pt>
                <c:pt idx="2">
                  <c:v>2020-2021</c:v>
                </c:pt>
                <c:pt idx="3">
                  <c:v>2021-2022</c:v>
                </c:pt>
              </c:strCache>
            </c:strRef>
          </c:cat>
          <c:val>
            <c:numRef>
              <c:f>'Question 4'!$BD$42:$BD$45</c:f>
              <c:numCache>
                <c:formatCode>0.0%</c:formatCode>
                <c:ptCount val="4"/>
                <c:pt idx="0">
                  <c:v>3.2561051972448449E-2</c:v>
                </c:pt>
                <c:pt idx="1">
                  <c:v>4.0532365396249173E-2</c:v>
                </c:pt>
                <c:pt idx="2">
                  <c:v>0.11656087709174834</c:v>
                </c:pt>
                <c:pt idx="3">
                  <c:v>1.5946502057613138E-2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E5-4824-A7FC-4D30AA53E2AE}"/>
            </c:ext>
          </c:extLst>
        </c:ser>
        <c:ser>
          <c:idx val="2"/>
          <c:order val="2"/>
          <c:tx>
            <c:strRef>
              <c:f>'Question 4'!$BE$41</c:f>
              <c:strCache>
                <c:ptCount val="1"/>
                <c:pt idx="0">
                  <c:v>Clothing and footwear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4'!$BB$42:$BB$45</c:f>
              <c:strCache>
                <c:ptCount val="4"/>
                <c:pt idx="0">
                  <c:v>2018-2019</c:v>
                </c:pt>
                <c:pt idx="1">
                  <c:v>2019-2020</c:v>
                </c:pt>
                <c:pt idx="2">
                  <c:v>2020-2021</c:v>
                </c:pt>
                <c:pt idx="3">
                  <c:v>2021-2022</c:v>
                </c:pt>
              </c:strCache>
            </c:strRef>
          </c:cat>
          <c:val>
            <c:numRef>
              <c:f>'Question 4'!$BE$42:$BE$45</c:f>
              <c:numCache>
                <c:formatCode>0.0%</c:formatCode>
                <c:ptCount val="4"/>
                <c:pt idx="0">
                  <c:v>4.5857988165680603E-2</c:v>
                </c:pt>
                <c:pt idx="1">
                  <c:v>2.5423728813559282E-2</c:v>
                </c:pt>
                <c:pt idx="2">
                  <c:v>4.807692307692308E-2</c:v>
                </c:pt>
                <c:pt idx="3">
                  <c:v>7.4967405475880045E-2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E5-4824-A7FC-4D30AA53E2AE}"/>
            </c:ext>
          </c:extLst>
        </c:ser>
        <c:ser>
          <c:idx val="3"/>
          <c:order val="3"/>
          <c:tx>
            <c:strRef>
              <c:f>'Question 4'!$BF$41</c:f>
              <c:strCache>
                <c:ptCount val="1"/>
                <c:pt idx="0">
                  <c:v>Household goods and services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4'!$BB$42:$BB$45</c:f>
              <c:strCache>
                <c:ptCount val="4"/>
                <c:pt idx="0">
                  <c:v>2018-2019</c:v>
                </c:pt>
                <c:pt idx="1">
                  <c:v>2019-2020</c:v>
                </c:pt>
                <c:pt idx="2">
                  <c:v>2020-2021</c:v>
                </c:pt>
                <c:pt idx="3">
                  <c:v>2021-2022</c:v>
                </c:pt>
              </c:strCache>
            </c:strRef>
          </c:cat>
          <c:val>
            <c:numRef>
              <c:f>'Question 4'!$BF$42:$BF$45</c:f>
              <c:numCache>
                <c:formatCode>0.0%</c:formatCode>
                <c:ptCount val="4"/>
                <c:pt idx="0">
                  <c:v>4.4342507645259807E-2</c:v>
                </c:pt>
                <c:pt idx="1">
                  <c:v>2.6315789473684167E-2</c:v>
                </c:pt>
                <c:pt idx="2">
                  <c:v>4.5454545454545289E-2</c:v>
                </c:pt>
                <c:pt idx="3">
                  <c:v>7.4525745257452577E-2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E5-4824-A7FC-4D30AA53E2AE}"/>
            </c:ext>
          </c:extLst>
        </c:ser>
        <c:ser>
          <c:idx val="4"/>
          <c:order val="4"/>
          <c:tx>
            <c:strRef>
              <c:f>'Question 4'!$BG$41</c:f>
              <c:strCache>
                <c:ptCount val="1"/>
                <c:pt idx="0">
                  <c:v>Personal care and effects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4'!$BB$42:$BB$45</c:f>
              <c:strCache>
                <c:ptCount val="4"/>
                <c:pt idx="0">
                  <c:v>2018-2019</c:v>
                </c:pt>
                <c:pt idx="1">
                  <c:v>2019-2020</c:v>
                </c:pt>
                <c:pt idx="2">
                  <c:v>2020-2021</c:v>
                </c:pt>
                <c:pt idx="3">
                  <c:v>2021-2022</c:v>
                </c:pt>
              </c:strCache>
            </c:strRef>
          </c:cat>
          <c:val>
            <c:numRef>
              <c:f>'Question 4'!$BG$42:$BG$45</c:f>
              <c:numCache>
                <c:formatCode>0.0%</c:formatCode>
                <c:ptCount val="4"/>
                <c:pt idx="0">
                  <c:v>4.9723756906077325E-2</c:v>
                </c:pt>
                <c:pt idx="1">
                  <c:v>8.3018867924528297E-2</c:v>
                </c:pt>
                <c:pt idx="2">
                  <c:v>6.6070199587061215E-2</c:v>
                </c:pt>
                <c:pt idx="3">
                  <c:v>6.5134099616858343E-2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1E5-4824-A7FC-4D30AA53E2AE}"/>
            </c:ext>
          </c:extLst>
        </c:ser>
        <c:ser>
          <c:idx val="5"/>
          <c:order val="5"/>
          <c:tx>
            <c:strRef>
              <c:f>'Question 4'!$BH$41</c:f>
              <c:strCache>
                <c:ptCount val="1"/>
                <c:pt idx="0">
                  <c:v>Miscellaneous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4'!$BB$42:$BB$45</c:f>
              <c:strCache>
                <c:ptCount val="4"/>
                <c:pt idx="0">
                  <c:v>2018-2019</c:v>
                </c:pt>
                <c:pt idx="1">
                  <c:v>2019-2020</c:v>
                </c:pt>
                <c:pt idx="2">
                  <c:v>2020-2021</c:v>
                </c:pt>
                <c:pt idx="3">
                  <c:v>2021-2022</c:v>
                </c:pt>
              </c:strCache>
            </c:strRef>
          </c:cat>
          <c:val>
            <c:numRef>
              <c:f>'Question 4'!$BH$42:$BH$45</c:f>
              <c:numCache>
                <c:formatCode>0.0%</c:formatCode>
                <c:ptCount val="4"/>
                <c:pt idx="0">
                  <c:v>4.1699449252557134E-2</c:v>
                </c:pt>
                <c:pt idx="1">
                  <c:v>4.2168674698795136E-2</c:v>
                </c:pt>
                <c:pt idx="2">
                  <c:v>8.1470800288392306E-2</c:v>
                </c:pt>
                <c:pt idx="3">
                  <c:v>6.7109634551494976E-2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1E5-4824-A7FC-4D30AA53E2A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8690991"/>
        <c:axId val="1988693487"/>
      </c:lineChart>
      <c:catAx>
        <c:axId val="1988690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693487"/>
        <c:crosses val="autoZero"/>
        <c:auto val="1"/>
        <c:lblAlgn val="ctr"/>
        <c:lblOffset val="100"/>
        <c:noMultiLvlLbl val="0"/>
      </c:catAx>
      <c:valAx>
        <c:axId val="1988693487"/>
        <c:scaling>
          <c:orientation val="minMax"/>
          <c:max val="0.15000000000000002"/>
          <c:min val="-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690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'Question 4'!$BD$48</c:f>
              <c:strCache>
                <c:ptCount val="1"/>
                <c:pt idx="0">
                  <c:v>Pan, tobacco and intoxicants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4'!$BB$49:$BB$52</c:f>
              <c:strCache>
                <c:ptCount val="4"/>
                <c:pt idx="0">
                  <c:v>2018-2019</c:v>
                </c:pt>
                <c:pt idx="1">
                  <c:v>2019-2020</c:v>
                </c:pt>
                <c:pt idx="2">
                  <c:v>2020-2021</c:v>
                </c:pt>
                <c:pt idx="3">
                  <c:v>2021-2022</c:v>
                </c:pt>
              </c:strCache>
            </c:strRef>
          </c:cat>
          <c:val>
            <c:numRef>
              <c:f>'Question 4'!$BD$49:$BD$52</c:f>
              <c:numCache>
                <c:formatCode>0.0%</c:formatCode>
                <c:ptCount val="4"/>
                <c:pt idx="0">
                  <c:v>4.5425463851567462E-2</c:v>
                </c:pt>
                <c:pt idx="1">
                  <c:v>4.0366972477064188E-2</c:v>
                </c:pt>
                <c:pt idx="2">
                  <c:v>9.8714953271028083E-2</c:v>
                </c:pt>
                <c:pt idx="3">
                  <c:v>2.5953389830508353E-2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2D-4F48-8EC7-A027126F57C4}"/>
            </c:ext>
          </c:extLst>
        </c:ser>
        <c:ser>
          <c:idx val="2"/>
          <c:order val="1"/>
          <c:tx>
            <c:strRef>
              <c:f>'Question 4'!$BE$48</c:f>
              <c:strCache>
                <c:ptCount val="1"/>
                <c:pt idx="0">
                  <c:v>Clothing and footwear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4'!$BB$49:$BB$52</c:f>
              <c:strCache>
                <c:ptCount val="4"/>
                <c:pt idx="0">
                  <c:v>2018-2019</c:v>
                </c:pt>
                <c:pt idx="1">
                  <c:v>2019-2020</c:v>
                </c:pt>
                <c:pt idx="2">
                  <c:v>2020-2021</c:v>
                </c:pt>
                <c:pt idx="3">
                  <c:v>2021-2022</c:v>
                </c:pt>
              </c:strCache>
            </c:strRef>
          </c:cat>
          <c:val>
            <c:numRef>
              <c:f>'Question 4'!$BE$49:$BE$52</c:f>
              <c:numCache>
                <c:formatCode>0.0%</c:formatCode>
                <c:ptCount val="4"/>
                <c:pt idx="0">
                  <c:v>2.3759608665269084E-2</c:v>
                </c:pt>
                <c:pt idx="1">
                  <c:v>1.9086571233810575E-2</c:v>
                </c:pt>
                <c:pt idx="2">
                  <c:v>4.4058744993324392E-2</c:v>
                </c:pt>
                <c:pt idx="3">
                  <c:v>8.7730451366814885E-2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2D-4F48-8EC7-A027126F57C4}"/>
            </c:ext>
          </c:extLst>
        </c:ser>
        <c:ser>
          <c:idx val="3"/>
          <c:order val="2"/>
          <c:tx>
            <c:strRef>
              <c:f>'Question 4'!$BF$48</c:f>
              <c:strCache>
                <c:ptCount val="1"/>
                <c:pt idx="0">
                  <c:v>Household goods and services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4'!$BB$49:$BB$52</c:f>
              <c:strCache>
                <c:ptCount val="4"/>
                <c:pt idx="0">
                  <c:v>2018-2019</c:v>
                </c:pt>
                <c:pt idx="1">
                  <c:v>2019-2020</c:v>
                </c:pt>
                <c:pt idx="2">
                  <c:v>2020-2021</c:v>
                </c:pt>
                <c:pt idx="3">
                  <c:v>2021-2022</c:v>
                </c:pt>
              </c:strCache>
            </c:strRef>
          </c:cat>
          <c:val>
            <c:numRef>
              <c:f>'Question 4'!$BF$49:$BF$52</c:f>
              <c:numCache>
                <c:formatCode>0.0%</c:formatCode>
                <c:ptCount val="4"/>
                <c:pt idx="0">
                  <c:v>5.9734513274336244E-2</c:v>
                </c:pt>
                <c:pt idx="1">
                  <c:v>1.8080667593880349E-2</c:v>
                </c:pt>
                <c:pt idx="2">
                  <c:v>3.2786885245901523E-2</c:v>
                </c:pt>
                <c:pt idx="3">
                  <c:v>7.2463768115942018E-2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2D-4F48-8EC7-A027126F57C4}"/>
            </c:ext>
          </c:extLst>
        </c:ser>
        <c:ser>
          <c:idx val="4"/>
          <c:order val="3"/>
          <c:tx>
            <c:strRef>
              <c:f>'Question 4'!$BG$48</c:f>
              <c:strCache>
                <c:ptCount val="1"/>
                <c:pt idx="0">
                  <c:v>Personal care and effects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4'!$BB$49:$BB$52</c:f>
              <c:strCache>
                <c:ptCount val="4"/>
                <c:pt idx="0">
                  <c:v>2018-2019</c:v>
                </c:pt>
                <c:pt idx="1">
                  <c:v>2019-2020</c:v>
                </c:pt>
                <c:pt idx="2">
                  <c:v>2020-2021</c:v>
                </c:pt>
                <c:pt idx="3">
                  <c:v>2021-2022</c:v>
                </c:pt>
              </c:strCache>
            </c:strRef>
          </c:cat>
          <c:val>
            <c:numRef>
              <c:f>'Question 4'!$BG$49:$BG$52</c:f>
              <c:numCache>
                <c:formatCode>0.0%</c:formatCode>
                <c:ptCount val="4"/>
                <c:pt idx="0">
                  <c:v>4.6021840873634992E-2</c:v>
                </c:pt>
                <c:pt idx="1">
                  <c:v>7.4962518740629688E-2</c:v>
                </c:pt>
                <c:pt idx="2">
                  <c:v>5.9228650137741208E-2</c:v>
                </c:pt>
                <c:pt idx="3">
                  <c:v>7.5933075933075814E-2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B2D-4F48-8EC7-A027126F57C4}"/>
            </c:ext>
          </c:extLst>
        </c:ser>
        <c:ser>
          <c:idx val="5"/>
          <c:order val="4"/>
          <c:tx>
            <c:strRef>
              <c:f>'Question 4'!$BH$48</c:f>
              <c:strCache>
                <c:ptCount val="1"/>
                <c:pt idx="0">
                  <c:v>Miscellaneous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4'!$BB$49:$BB$52</c:f>
              <c:strCache>
                <c:ptCount val="4"/>
                <c:pt idx="0">
                  <c:v>2018-2019</c:v>
                </c:pt>
                <c:pt idx="1">
                  <c:v>2019-2020</c:v>
                </c:pt>
                <c:pt idx="2">
                  <c:v>2020-2021</c:v>
                </c:pt>
                <c:pt idx="3">
                  <c:v>2021-2022</c:v>
                </c:pt>
              </c:strCache>
            </c:strRef>
          </c:cat>
          <c:val>
            <c:numRef>
              <c:f>'Question 4'!$BH$49:$BH$52</c:f>
              <c:numCache>
                <c:formatCode>0.0%</c:formatCode>
                <c:ptCount val="4"/>
                <c:pt idx="0">
                  <c:v>5.448963929393702E-2</c:v>
                </c:pt>
                <c:pt idx="1">
                  <c:v>4.2846768336964464E-2</c:v>
                </c:pt>
                <c:pt idx="2">
                  <c:v>6.9541029207232263E-2</c:v>
                </c:pt>
                <c:pt idx="3">
                  <c:v>6.6062176165803038E-2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B2D-4F48-8EC7-A027126F57C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90691103"/>
        <c:axId val="1990688191"/>
      </c:lineChart>
      <c:catAx>
        <c:axId val="199069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688191"/>
        <c:crosses val="autoZero"/>
        <c:auto val="1"/>
        <c:lblAlgn val="ctr"/>
        <c:lblOffset val="100"/>
        <c:noMultiLvlLbl val="0"/>
      </c:catAx>
      <c:valAx>
        <c:axId val="1990688191"/>
        <c:scaling>
          <c:orientation val="minMax"/>
          <c:max val="0.15000000000000002"/>
          <c:min val="-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69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YOY Inflaction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Insight!$C$1</c:f>
              <c:strCache>
                <c:ptCount val="1"/>
                <c:pt idx="0">
                  <c:v>General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Insight!$B$2:$B$12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Insight!$C$2:$C$12</c:f>
              <c:numCache>
                <c:formatCode>General</c:formatCode>
                <c:ptCount val="11"/>
                <c:pt idx="0">
                  <c:v>114.5</c:v>
                </c:pt>
                <c:pt idx="1">
                  <c:v>119.4</c:v>
                </c:pt>
                <c:pt idx="2">
                  <c:v>126.1</c:v>
                </c:pt>
                <c:pt idx="3">
                  <c:v>130.4</c:v>
                </c:pt>
                <c:pt idx="4">
                  <c:v>137.19999999999999</c:v>
                </c:pt>
                <c:pt idx="5">
                  <c:v>140.1</c:v>
                </c:pt>
                <c:pt idx="6">
                  <c:v>150.4</c:v>
                </c:pt>
                <c:pt idx="7">
                  <c:v>158.9</c:v>
                </c:pt>
                <c:pt idx="8">
                  <c:v>166.2</c:v>
                </c:pt>
                <c:pt idx="9">
                  <c:v>175.7</c:v>
                </c:pt>
                <c:pt idx="1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CF-41D2-989A-14B48512A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9897488"/>
        <c:axId val="679902896"/>
      </c:lineChart>
      <c:catAx>
        <c:axId val="67989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902896"/>
        <c:crossesAt val="0"/>
        <c:auto val="1"/>
        <c:lblAlgn val="ctr"/>
        <c:lblOffset val="100"/>
        <c:noMultiLvlLbl val="0"/>
      </c:catAx>
      <c:valAx>
        <c:axId val="679902896"/>
        <c:scaling>
          <c:orientation val="minMax"/>
          <c:max val="18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897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Food Inflation on June2022 to May 2023 (MoM)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IN" sz="1400" b="0" i="0" u="none" strike="noStrike" kern="1200" cap="none" spc="0" normalizeH="0" baseline="0" noProof="0">
              <a:ln>
                <a:noFill/>
              </a:ln>
              <a:solidFill>
                <a:srgbClr val="92D050"/>
              </a:solidFill>
              <a:effectLst/>
              <a:uLnTx/>
              <a:uFillTx/>
              <a:latin typeface="Calibri" panose="020F0502020204030204"/>
            </a:rPr>
            <a:t>Food Inflation on June2022 to May 2023 (MoM)</a:t>
          </a:r>
        </a:p>
      </cx:txPr>
    </cx:title>
    <cx:plotArea>
      <cx:plotAreaRegion>
        <cx:series layoutId="waterfall" uniqueId="{444B495B-7048-40DA-9359-0AD52DC3BF82}">
          <cx:tx>
            <cx:txData>
              <cx:f>_xlchart.v1.1</cx:f>
              <cx:v>Food Inflation</cx:v>
            </cx:txData>
          </cx:tx>
          <cx:dataLabels pos="in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valScaling/>
        <cx:majorGridlines/>
        <cx:tickLabels/>
      </cx:axis>
      <cx:axis id="1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>
                <a:solidFill>
                  <a:srgbClr val="FFC000"/>
                </a:solidFill>
              </a:defRPr>
            </a:pPr>
            <a:endParaRPr lang="en-US" sz="1000" b="0" i="0" u="none" strike="noStrike" baseline="0">
              <a:solidFill>
                <a:srgbClr val="FFC000"/>
              </a:solidFill>
              <a:latin typeface="Calibri" panose="020F0502020204030204"/>
            </a:endParaRPr>
          </a:p>
        </cx:txPr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image" Target="../media/image2.png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microsoft.com/office/2014/relationships/chartEx" Target="../charts/chartEx1.xml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image" Target="../media/image4.png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137380</xdr:colOff>
      <xdr:row>10</xdr:row>
      <xdr:rowOff>27476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48654" cy="1950793"/>
        </a:xfrm>
        <a:prstGeom prst="rect">
          <a:avLst/>
        </a:prstGeom>
      </xdr:spPr>
    </xdr:pic>
    <xdr:clientData/>
  </xdr:twoCellAnchor>
  <xdr:twoCellAnchor>
    <xdr:from>
      <xdr:col>0</xdr:col>
      <xdr:colOff>9159</xdr:colOff>
      <xdr:row>10</xdr:row>
      <xdr:rowOff>9158</xdr:rowOff>
    </xdr:from>
    <xdr:to>
      <xdr:col>7</xdr:col>
      <xdr:colOff>219808</xdr:colOff>
      <xdr:row>30</xdr:row>
      <xdr:rowOff>54950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219808</xdr:colOff>
      <xdr:row>10</xdr:row>
      <xdr:rowOff>9158</xdr:rowOff>
    </xdr:from>
    <xdr:to>
      <xdr:col>21</xdr:col>
      <xdr:colOff>485409</xdr:colOff>
      <xdr:row>30</xdr:row>
      <xdr:rowOff>54950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485409</xdr:colOff>
      <xdr:row>10</xdr:row>
      <xdr:rowOff>9160</xdr:rowOff>
    </xdr:from>
    <xdr:to>
      <xdr:col>31</xdr:col>
      <xdr:colOff>384664</xdr:colOff>
      <xdr:row>30</xdr:row>
      <xdr:rowOff>54952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353240</xdr:colOff>
      <xdr:row>9</xdr:row>
      <xdr:rowOff>19292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839640" cy="1733792"/>
        </a:xfrm>
        <a:prstGeom prst="rect">
          <a:avLst/>
        </a:prstGeom>
      </xdr:spPr>
    </xdr:pic>
    <xdr:clientData/>
  </xdr:twoCellAnchor>
  <xdr:twoCellAnchor>
    <xdr:from>
      <xdr:col>0</xdr:col>
      <xdr:colOff>13884</xdr:colOff>
      <xdr:row>9</xdr:row>
      <xdr:rowOff>16223</xdr:rowOff>
    </xdr:from>
    <xdr:to>
      <xdr:col>7</xdr:col>
      <xdr:colOff>589259</xdr:colOff>
      <xdr:row>32</xdr:row>
      <xdr:rowOff>1936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579572</xdr:colOff>
      <xdr:row>9</xdr:row>
      <xdr:rowOff>16144</xdr:rowOff>
    </xdr:from>
    <xdr:to>
      <xdr:col>16</xdr:col>
      <xdr:colOff>137224</xdr:colOff>
      <xdr:row>32</xdr:row>
      <xdr:rowOff>80720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127537</xdr:colOff>
      <xdr:row>9</xdr:row>
      <xdr:rowOff>32934</xdr:rowOff>
    </xdr:from>
    <xdr:to>
      <xdr:col>25</xdr:col>
      <xdr:colOff>992861</xdr:colOff>
      <xdr:row>35</xdr:row>
      <xdr:rowOff>19842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339025</xdr:colOff>
      <xdr:row>0</xdr:row>
      <xdr:rowOff>24217</xdr:rowOff>
    </xdr:from>
    <xdr:to>
      <xdr:col>24</xdr:col>
      <xdr:colOff>427817</xdr:colOff>
      <xdr:row>9</xdr:row>
      <xdr:rowOff>32289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860296" y="24217"/>
          <a:ext cx="9710657" cy="1751631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 b="1" i="1">
              <a:solidFill>
                <a:schemeClr val="bg1"/>
              </a:solidFill>
            </a:rPr>
            <a:t>Ans:</a:t>
          </a:r>
        </a:p>
        <a:p>
          <a:r>
            <a:rPr lang="en-IN" sz="2400" b="1" i="1">
              <a:solidFill>
                <a:schemeClr val="bg1"/>
              </a:solidFill>
            </a:rPr>
            <a:t>The</a:t>
          </a:r>
          <a:r>
            <a:rPr lang="en-IN" sz="2400" b="1" i="1" baseline="0">
              <a:solidFill>
                <a:schemeClr val="bg1"/>
              </a:solidFill>
            </a:rPr>
            <a:t> Reason of getting high inflation rate on 2019 because of the price of vegetables in the month december gets high.</a:t>
          </a:r>
          <a:endParaRPr lang="en-IN" sz="2400" b="1" i="1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234987</xdr:colOff>
      <xdr:row>26</xdr:row>
      <xdr:rowOff>105833</xdr:rowOff>
    </xdr:from>
    <xdr:to>
      <xdr:col>16</xdr:col>
      <xdr:colOff>96387</xdr:colOff>
      <xdr:row>30</xdr:row>
      <xdr:rowOff>74681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9774098" y="5058833"/>
          <a:ext cx="468178" cy="730848"/>
        </a:xfrm>
        <a:prstGeom prst="rect">
          <a:avLst/>
        </a:prstGeom>
        <a:noFill/>
        <a:ln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339026</xdr:colOff>
      <xdr:row>22</xdr:row>
      <xdr:rowOff>185657</xdr:rowOff>
    </xdr:from>
    <xdr:to>
      <xdr:col>21</xdr:col>
      <xdr:colOff>80720</xdr:colOff>
      <xdr:row>29</xdr:row>
      <xdr:rowOff>16144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13028263" y="4447691"/>
          <a:ext cx="355169" cy="1186589"/>
        </a:xfrm>
        <a:prstGeom prst="rect">
          <a:avLst/>
        </a:prstGeom>
        <a:noFill/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0.37096</cdr:x>
      <cdr:y>0.59783</cdr:y>
    </cdr:from>
    <cdr:to>
      <cdr:x>0.50537</cdr:x>
      <cdr:y>0.86642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D42A76E7-0810-402A-834E-078B02DBE857}"/>
            </a:ext>
          </a:extLst>
        </cdr:cNvPr>
        <cdr:cNvSpPr/>
      </cdr:nvSpPr>
      <cdr:spPr>
        <a:xfrm xmlns:a="http://schemas.openxmlformats.org/drawingml/2006/main">
          <a:off x="1809181" y="2667164"/>
          <a:ext cx="655483" cy="119830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8575">
          <a:solidFill>
            <a:schemeClr val="accent2"/>
          </a:solidFill>
          <a:prstDash val="dash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7872</xdr:colOff>
      <xdr:row>0</xdr:row>
      <xdr:rowOff>0</xdr:rowOff>
    </xdr:from>
    <xdr:to>
      <xdr:col>10</xdr:col>
      <xdr:colOff>0</xdr:colOff>
      <xdr:row>11</xdr:row>
      <xdr:rowOff>171766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2" y="0"/>
          <a:ext cx="6053492" cy="224994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</xdr:row>
      <xdr:rowOff>39361</xdr:rowOff>
    </xdr:from>
    <xdr:to>
      <xdr:col>10</xdr:col>
      <xdr:colOff>23614</xdr:colOff>
      <xdr:row>42</xdr:row>
      <xdr:rowOff>62976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0000000-0008-0000-04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515861"/>
              <a:ext cx="6119614" cy="55481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335107</xdr:colOff>
      <xdr:row>27</xdr:row>
      <xdr:rowOff>89018</xdr:rowOff>
    </xdr:from>
    <xdr:to>
      <xdr:col>8</xdr:col>
      <xdr:colOff>224901</xdr:colOff>
      <xdr:row>29</xdr:row>
      <xdr:rowOff>169136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4572397" y="5136378"/>
          <a:ext cx="495121" cy="453996"/>
        </a:xfrm>
        <a:prstGeom prst="roundRect">
          <a:avLst/>
        </a:prstGeom>
        <a:noFill/>
        <a:ln w="38100">
          <a:solidFill>
            <a:srgbClr val="92D050"/>
          </a:solidFill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320468</xdr:colOff>
      <xdr:row>32</xdr:row>
      <xdr:rowOff>94095</xdr:rowOff>
    </xdr:from>
    <xdr:to>
      <xdr:col>1</xdr:col>
      <xdr:colOff>234687</xdr:colOff>
      <xdr:row>40</xdr:row>
      <xdr:rowOff>101967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320468" y="6076151"/>
          <a:ext cx="519546" cy="1503386"/>
        </a:xfrm>
        <a:prstGeom prst="roundRect">
          <a:avLst/>
        </a:prstGeom>
        <a:noFill/>
        <a:ln w="38100">
          <a:solidFill>
            <a:srgbClr val="FF0000"/>
          </a:solidFill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369981</xdr:colOff>
      <xdr:row>12</xdr:row>
      <xdr:rowOff>102335</xdr:rowOff>
    </xdr:from>
    <xdr:to>
      <xdr:col>2</xdr:col>
      <xdr:colOff>511674</xdr:colOff>
      <xdr:row>12</xdr:row>
      <xdr:rowOff>102335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CxnSpPr/>
      </xdr:nvCxnSpPr>
      <xdr:spPr>
        <a:xfrm>
          <a:off x="976117" y="2369442"/>
          <a:ext cx="747830" cy="0"/>
        </a:xfrm>
        <a:prstGeom prst="line">
          <a:avLst/>
        </a:prstGeom>
        <a:ln w="38100">
          <a:solidFill>
            <a:srgbClr val="FF0000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432956</xdr:colOff>
      <xdr:row>12</xdr:row>
      <xdr:rowOff>110207</xdr:rowOff>
    </xdr:from>
    <xdr:to>
      <xdr:col>5</xdr:col>
      <xdr:colOff>574649</xdr:colOff>
      <xdr:row>12</xdr:row>
      <xdr:rowOff>110207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/>
      </xdr:nvCxnSpPr>
      <xdr:spPr>
        <a:xfrm>
          <a:off x="2857501" y="2377314"/>
          <a:ext cx="747830" cy="0"/>
        </a:xfrm>
        <a:prstGeom prst="line">
          <a:avLst/>
        </a:prstGeom>
        <a:ln w="38100">
          <a:solidFill>
            <a:srgbClr val="92D050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15743</xdr:colOff>
      <xdr:row>13</xdr:row>
      <xdr:rowOff>39360</xdr:rowOff>
    </xdr:from>
    <xdr:to>
      <xdr:col>17</xdr:col>
      <xdr:colOff>377850</xdr:colOff>
      <xdr:row>62</xdr:row>
      <xdr:rowOff>70848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0.57622</cdr:x>
      <cdr:y>0.14522</cdr:y>
    </cdr:from>
    <cdr:to>
      <cdr:x>0.65198</cdr:x>
      <cdr:y>0.53929</cdr:y>
    </cdr:to>
    <cdr:sp macro="" textlink="">
      <cdr:nvSpPr>
        <cdr:cNvPr id="2" name="Rectangle: Rounded Corners 1">
          <a:extLst xmlns:a="http://schemas.openxmlformats.org/drawingml/2006/main">
            <a:ext uri="{FF2B5EF4-FFF2-40B4-BE49-F238E27FC236}">
              <a16:creationId xmlns:a16="http://schemas.microsoft.com/office/drawing/2014/main" id="{5F7E8C1A-CDB0-4597-B873-5896E51677EB}"/>
            </a:ext>
          </a:extLst>
        </cdr:cNvPr>
        <cdr:cNvSpPr/>
      </cdr:nvSpPr>
      <cdr:spPr>
        <a:xfrm xmlns:a="http://schemas.openxmlformats.org/drawingml/2006/main">
          <a:off x="3303950" y="1347903"/>
          <a:ext cx="434398" cy="3657715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38100">
          <a:solidFill>
            <a:srgbClr val="FFC000"/>
          </a:solidFill>
          <a:prstDash val="lgDashDotDot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334187</xdr:colOff>
      <xdr:row>8</xdr:row>
      <xdr:rowOff>19265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820587" cy="154326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23811</xdr:rowOff>
    </xdr:from>
    <xdr:to>
      <xdr:col>12</xdr:col>
      <xdr:colOff>180974</xdr:colOff>
      <xdr:row>30</xdr:row>
      <xdr:rowOff>94075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208351</xdr:colOff>
      <xdr:row>15</xdr:row>
      <xdr:rowOff>82193</xdr:rowOff>
    </xdr:from>
    <xdr:to>
      <xdr:col>6</xdr:col>
      <xdr:colOff>34113</xdr:colOff>
      <xdr:row>18</xdr:row>
      <xdr:rowOff>128658</xdr:rowOff>
    </xdr:to>
    <xdr:sp macro="" textlink="">
      <xdr:nvSpPr>
        <xdr:cNvPr id="5" name="Arrow: Lef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823256" y="2975864"/>
          <a:ext cx="2900287" cy="625199"/>
        </a:xfrm>
        <a:prstGeom prst="leftArrow">
          <a:avLst/>
        </a:prstGeom>
        <a:noFill/>
        <a:ln w="38100">
          <a:solidFill>
            <a:srgbClr val="FFC000"/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377590</xdr:colOff>
      <xdr:row>15</xdr:row>
      <xdr:rowOff>92045</xdr:rowOff>
    </xdr:from>
    <xdr:to>
      <xdr:col>11</xdr:col>
      <xdr:colOff>203352</xdr:colOff>
      <xdr:row>18</xdr:row>
      <xdr:rowOff>138510</xdr:rowOff>
    </xdr:to>
    <xdr:sp macro="" textlink="">
      <xdr:nvSpPr>
        <xdr:cNvPr id="6" name="Arrow: Lef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 rot="10800000">
          <a:off x="4067020" y="2985716"/>
          <a:ext cx="2900288" cy="625199"/>
        </a:xfrm>
        <a:prstGeom prst="leftArrow">
          <a:avLst/>
        </a:prstGeom>
        <a:noFill/>
        <a:ln w="38100">
          <a:solidFill>
            <a:srgbClr val="FFC000"/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193984</xdr:colOff>
      <xdr:row>8</xdr:row>
      <xdr:rowOff>39726</xdr:rowOff>
    </xdr:from>
    <xdr:to>
      <xdr:col>25</xdr:col>
      <xdr:colOff>336860</xdr:colOff>
      <xdr:row>30</xdr:row>
      <xdr:rowOff>129352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420584</xdr:colOff>
      <xdr:row>12</xdr:row>
      <xdr:rowOff>148442</xdr:rowOff>
    </xdr:from>
    <xdr:to>
      <xdr:col>18</xdr:col>
      <xdr:colOff>420584</xdr:colOff>
      <xdr:row>29</xdr:row>
      <xdr:rowOff>117593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CxnSpPr/>
      </xdr:nvCxnSpPr>
      <xdr:spPr>
        <a:xfrm>
          <a:off x="11427251" y="2406220"/>
          <a:ext cx="0" cy="3167669"/>
        </a:xfrm>
        <a:prstGeom prst="line">
          <a:avLst/>
        </a:prstGeom>
        <a:ln w="28575">
          <a:solidFill>
            <a:schemeClr val="tx1">
              <a:lumMod val="85000"/>
              <a:lumOff val="15000"/>
            </a:schemeClr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24251</xdr:colOff>
      <xdr:row>10</xdr:row>
      <xdr:rowOff>61852</xdr:rowOff>
    </xdr:from>
    <xdr:to>
      <xdr:col>22</xdr:col>
      <xdr:colOff>12858</xdr:colOff>
      <xdr:row>12</xdr:row>
      <xdr:rowOff>111330</xdr:rowOff>
    </xdr:to>
    <xdr:sp macro="" textlink="">
      <xdr:nvSpPr>
        <xdr:cNvPr id="10" name="Speech Bubble: Rectangle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10934706" y="1917371"/>
          <a:ext cx="2413152" cy="420582"/>
        </a:xfrm>
        <a:prstGeom prst="wedgeRectCallout">
          <a:avLst>
            <a:gd name="adj1" fmla="val -34499"/>
            <a:gd name="adj2" fmla="val 165633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/>
            <a:t>Covid</a:t>
          </a:r>
          <a:r>
            <a:rPr lang="en-IN" sz="1800" b="1" baseline="0"/>
            <a:t>-19 (March 2020)</a:t>
          </a:r>
          <a:endParaRPr lang="en-IN" sz="1050" b="1" baseline="0"/>
        </a:p>
      </xdr:txBody>
    </xdr:sp>
    <xdr:clientData/>
  </xdr:twoCellAnchor>
  <xdr:twoCellAnchor>
    <xdr:from>
      <xdr:col>25</xdr:col>
      <xdr:colOff>335992</xdr:colOff>
      <xdr:row>8</xdr:row>
      <xdr:rowOff>52335</xdr:rowOff>
    </xdr:from>
    <xdr:to>
      <xdr:col>40</xdr:col>
      <xdr:colOff>42650</xdr:colOff>
      <xdr:row>30</xdr:row>
      <xdr:rowOff>82315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12057</xdr:colOff>
      <xdr:row>15</xdr:row>
      <xdr:rowOff>120570</xdr:rowOff>
    </xdr:from>
    <xdr:to>
      <xdr:col>23</xdr:col>
      <xdr:colOff>518450</xdr:colOff>
      <xdr:row>19</xdr:row>
      <xdr:rowOff>36171</xdr:rowOff>
    </xdr:to>
    <xdr:sp macro="" textlink="">
      <xdr:nvSpPr>
        <xdr:cNvPr id="12" name="Arrow: Lef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/>
      </xdr:nvSpPr>
      <xdr:spPr>
        <a:xfrm rot="10800000">
          <a:off x="11695253" y="3014241"/>
          <a:ext cx="2966013" cy="687246"/>
        </a:xfrm>
        <a:prstGeom prst="leftArrow">
          <a:avLst/>
        </a:prstGeom>
        <a:noFill/>
        <a:ln w="28575">
          <a:solidFill>
            <a:srgbClr val="FFC000"/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26</xdr:col>
      <xdr:colOff>289367</xdr:colOff>
      <xdr:row>15</xdr:row>
      <xdr:rowOff>108513</xdr:rowOff>
    </xdr:from>
    <xdr:to>
      <xdr:col>32</xdr:col>
      <xdr:colOff>235767</xdr:colOff>
      <xdr:row>19</xdr:row>
      <xdr:rowOff>24114</xdr:rowOff>
    </xdr:to>
    <xdr:sp macro="" textlink="">
      <xdr:nvSpPr>
        <xdr:cNvPr id="13" name="Arrow: Left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6227238" y="2937721"/>
          <a:ext cx="3624371" cy="670056"/>
        </a:xfrm>
        <a:prstGeom prst="leftArrow">
          <a:avLst/>
        </a:prstGeom>
        <a:noFill/>
        <a:ln w="28575">
          <a:solidFill>
            <a:srgbClr val="FFC000"/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33</xdr:col>
      <xdr:colOff>273490</xdr:colOff>
      <xdr:row>15</xdr:row>
      <xdr:rowOff>132627</xdr:rowOff>
    </xdr:from>
    <xdr:to>
      <xdr:col>39</xdr:col>
      <xdr:colOff>273490</xdr:colOff>
      <xdr:row>19</xdr:row>
      <xdr:rowOff>48228</xdr:rowOff>
    </xdr:to>
    <xdr:sp macro="" textlink="">
      <xdr:nvSpPr>
        <xdr:cNvPr id="14" name="Arrow: Left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/>
      </xdr:nvSpPr>
      <xdr:spPr>
        <a:xfrm rot="10800000">
          <a:off x="20502327" y="2961835"/>
          <a:ext cx="3677970" cy="670056"/>
        </a:xfrm>
        <a:prstGeom prst="leftArrow">
          <a:avLst/>
        </a:prstGeom>
        <a:noFill/>
        <a:ln w="28575">
          <a:solidFill>
            <a:srgbClr val="FFC000"/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9</xdr:col>
      <xdr:colOff>397878</xdr:colOff>
      <xdr:row>0</xdr:row>
      <xdr:rowOff>36171</xdr:rowOff>
    </xdr:from>
    <xdr:to>
      <xdr:col>40</xdr:col>
      <xdr:colOff>42649</xdr:colOff>
      <xdr:row>8</xdr:row>
      <xdr:rowOff>143528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 txBox="1"/>
      </xdr:nvSpPr>
      <xdr:spPr>
        <a:xfrm>
          <a:off x="5899632" y="36171"/>
          <a:ext cx="18595256" cy="1585864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200">
              <a:solidFill>
                <a:schemeClr val="bg1"/>
              </a:solidFill>
            </a:rPr>
            <a:t>Insight:</a:t>
          </a:r>
        </a:p>
        <a:p>
          <a:pPr lvl="0"/>
          <a:r>
            <a:rPr lang="en-IN" sz="2400">
              <a:solidFill>
                <a:srgbClr val="92D050"/>
              </a:solidFill>
            </a:rPr>
            <a:t>- According</a:t>
          </a:r>
          <a:r>
            <a:rPr lang="en-IN" sz="2400" baseline="0">
              <a:solidFill>
                <a:srgbClr val="92D050"/>
              </a:solidFill>
            </a:rPr>
            <a:t> to the graph the most affectived by the Covid-19 is Urban but.</a:t>
          </a:r>
        </a:p>
        <a:p>
          <a:pPr lvl="0"/>
          <a:r>
            <a:rPr lang="en-IN" sz="2400" baseline="0">
              <a:solidFill>
                <a:srgbClr val="92D050"/>
              </a:solidFill>
            </a:rPr>
            <a:t>- After Deepdive in the data We find out the Clothing &amp; Footwear and Household, Goods and Service are two broader categories   effective the most in bought Sectors.</a:t>
          </a:r>
        </a:p>
        <a:p>
          <a:endParaRPr lang="en-IN" sz="2400" baseline="0">
            <a:solidFill>
              <a:srgbClr val="92D050"/>
            </a:solidFill>
          </a:endParaRPr>
        </a:p>
        <a:p>
          <a:endParaRPr lang="en-IN" sz="1100"/>
        </a:p>
      </xdr:txBody>
    </xdr:sp>
    <xdr:clientData/>
  </xdr:twoCellAnchor>
  <xdr:twoCellAnchor>
    <xdr:from>
      <xdr:col>0</xdr:col>
      <xdr:colOff>7938</xdr:colOff>
      <xdr:row>42</xdr:row>
      <xdr:rowOff>37538</xdr:rowOff>
    </xdr:from>
    <xdr:to>
      <xdr:col>12</xdr:col>
      <xdr:colOff>190500</xdr:colOff>
      <xdr:row>73</xdr:row>
      <xdr:rowOff>39688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D7C8ECE-0F90-4A0F-87E5-1D72269BBF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195791</xdr:colOff>
      <xdr:row>42</xdr:row>
      <xdr:rowOff>35982</xdr:rowOff>
    </xdr:from>
    <xdr:to>
      <xdr:col>25</xdr:col>
      <xdr:colOff>349250</xdr:colOff>
      <xdr:row>73</xdr:row>
      <xdr:rowOff>37352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FE9F913-FBAA-4B89-BAE1-663AE656B4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343957</xdr:colOff>
      <xdr:row>42</xdr:row>
      <xdr:rowOff>35982</xdr:rowOff>
    </xdr:from>
    <xdr:to>
      <xdr:col>41</xdr:col>
      <xdr:colOff>402167</xdr:colOff>
      <xdr:row>73</xdr:row>
      <xdr:rowOff>10581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7C36DFA-7721-41EB-98AD-BEBBA87A8A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171084</xdr:colOff>
      <xdr:row>48</xdr:row>
      <xdr:rowOff>167384</xdr:rowOff>
    </xdr:from>
    <xdr:to>
      <xdr:col>6</xdr:col>
      <xdr:colOff>171084</xdr:colOff>
      <xdr:row>72</xdr:row>
      <xdr:rowOff>92678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46627D2-E3B2-4CE5-A697-0FC9077A46D5}"/>
            </a:ext>
          </a:extLst>
        </xdr:cNvPr>
        <xdr:cNvCxnSpPr/>
      </xdr:nvCxnSpPr>
      <xdr:spPr>
        <a:xfrm>
          <a:off x="3837310" y="9656441"/>
          <a:ext cx="0" cy="4669822"/>
        </a:xfrm>
        <a:prstGeom prst="line">
          <a:avLst/>
        </a:prstGeom>
        <a:ln w="28575"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336742</xdr:colOff>
      <xdr:row>47</xdr:row>
      <xdr:rowOff>134698</xdr:rowOff>
    </xdr:from>
    <xdr:to>
      <xdr:col>9</xdr:col>
      <xdr:colOff>269394</xdr:colOff>
      <xdr:row>49</xdr:row>
      <xdr:rowOff>163561</xdr:rowOff>
    </xdr:to>
    <xdr:sp macro="" textlink="">
      <xdr:nvSpPr>
        <xdr:cNvPr id="20" name="Speech Bubble: Rectangle 19">
          <a:extLst>
            <a:ext uri="{FF2B5EF4-FFF2-40B4-BE49-F238E27FC236}">
              <a16:creationId xmlns:a16="http://schemas.microsoft.com/office/drawing/2014/main" id="{9580F8BC-9F46-4BDD-ABEB-04734A82019E}"/>
            </a:ext>
          </a:extLst>
        </xdr:cNvPr>
        <xdr:cNvSpPr/>
      </xdr:nvSpPr>
      <xdr:spPr>
        <a:xfrm>
          <a:off x="3367424" y="9178637"/>
          <a:ext cx="2357197" cy="413712"/>
        </a:xfrm>
        <a:prstGeom prst="wedgeRectCallout">
          <a:avLst>
            <a:gd name="adj1" fmla="val -31577"/>
            <a:gd name="adj2" fmla="val 178779"/>
          </a:avLst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/>
            <a:t>Covid-19</a:t>
          </a:r>
          <a:r>
            <a:rPr lang="en-IN" sz="1800" b="1" baseline="0"/>
            <a:t> (March 2020)</a:t>
          </a:r>
          <a:endParaRPr lang="en-IN" sz="1100" b="1" baseline="0"/>
        </a:p>
      </xdr:txBody>
    </xdr:sp>
    <xdr:clientData/>
  </xdr:twoCellAnchor>
  <xdr:twoCellAnchor>
    <xdr:from>
      <xdr:col>7</xdr:col>
      <xdr:colOff>227135</xdr:colOff>
      <xdr:row>61</xdr:row>
      <xdr:rowOff>183173</xdr:rowOff>
    </xdr:from>
    <xdr:to>
      <xdr:col>8</xdr:col>
      <xdr:colOff>168519</xdr:colOff>
      <xdr:row>64</xdr:row>
      <xdr:rowOff>117231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3168CCA8-1ED8-4389-883B-4F3E770D22C5}"/>
            </a:ext>
          </a:extLst>
        </xdr:cNvPr>
        <xdr:cNvSpPr/>
      </xdr:nvSpPr>
      <xdr:spPr>
        <a:xfrm>
          <a:off x="4484077" y="11803673"/>
          <a:ext cx="549519" cy="505558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335573</xdr:colOff>
      <xdr:row>64</xdr:row>
      <xdr:rowOff>49823</xdr:rowOff>
    </xdr:from>
    <xdr:to>
      <xdr:col>8</xdr:col>
      <xdr:colOff>276957</xdr:colOff>
      <xdr:row>66</xdr:row>
      <xdr:rowOff>174381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B29412E1-925E-4E1E-9695-3422D80BA47C}"/>
            </a:ext>
          </a:extLst>
        </xdr:cNvPr>
        <xdr:cNvSpPr/>
      </xdr:nvSpPr>
      <xdr:spPr>
        <a:xfrm>
          <a:off x="4592515" y="12241823"/>
          <a:ext cx="549519" cy="505558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187569</xdr:colOff>
      <xdr:row>57</xdr:row>
      <xdr:rowOff>33704</xdr:rowOff>
    </xdr:from>
    <xdr:to>
      <xdr:col>11</xdr:col>
      <xdr:colOff>128953</xdr:colOff>
      <xdr:row>59</xdr:row>
      <xdr:rowOff>158262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95D75B02-D4D5-4179-9DF4-85B147096908}"/>
            </a:ext>
          </a:extLst>
        </xdr:cNvPr>
        <xdr:cNvSpPr/>
      </xdr:nvSpPr>
      <xdr:spPr>
        <a:xfrm>
          <a:off x="6268915" y="10892204"/>
          <a:ext cx="549519" cy="505558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186104</xdr:colOff>
      <xdr:row>53</xdr:row>
      <xdr:rowOff>149469</xdr:rowOff>
    </xdr:from>
    <xdr:to>
      <xdr:col>11</xdr:col>
      <xdr:colOff>127488</xdr:colOff>
      <xdr:row>56</xdr:row>
      <xdr:rowOff>83527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7F6E0B9C-2080-45AF-8466-19E6B1EB7B14}"/>
            </a:ext>
          </a:extLst>
        </xdr:cNvPr>
        <xdr:cNvSpPr/>
      </xdr:nvSpPr>
      <xdr:spPr>
        <a:xfrm>
          <a:off x="6267450" y="10245969"/>
          <a:ext cx="549519" cy="505558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0.51144</cdr:x>
      <cdr:y>0.08982</cdr:y>
    </cdr:from>
    <cdr:to>
      <cdr:x>0.51634</cdr:x>
      <cdr:y>0.95039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369572C4-7409-4B89-937F-9D614905C1AF}"/>
            </a:ext>
          </a:extLst>
        </cdr:cNvPr>
        <cdr:cNvCxnSpPr/>
      </cdr:nvCxnSpPr>
      <cdr:spPr>
        <a:xfrm xmlns:a="http://schemas.openxmlformats.org/drawingml/2006/main" flipH="1">
          <a:off x="2981325" y="500064"/>
          <a:ext cx="28575" cy="4791075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002060"/>
          </a:solidFill>
          <a:prstDash val="lg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0.45759</cdr:x>
      <cdr:y>0.071</cdr:y>
    </cdr:from>
    <cdr:to>
      <cdr:x>0.77328</cdr:x>
      <cdr:y>0.13259</cdr:y>
    </cdr:to>
    <cdr:sp macro="" textlink="">
      <cdr:nvSpPr>
        <cdr:cNvPr id="5" name="Speech Bubble: Rectangle 4">
          <a:extLst xmlns:a="http://schemas.openxmlformats.org/drawingml/2006/main">
            <a:ext uri="{FF2B5EF4-FFF2-40B4-BE49-F238E27FC236}">
              <a16:creationId xmlns:a16="http://schemas.microsoft.com/office/drawing/2014/main" id="{963308FE-7100-4AA2-A890-DF19C1EBB4BD}"/>
            </a:ext>
          </a:extLst>
        </cdr:cNvPr>
        <cdr:cNvSpPr/>
      </cdr:nvSpPr>
      <cdr:spPr>
        <a:xfrm xmlns:a="http://schemas.openxmlformats.org/drawingml/2006/main">
          <a:off x="3411175" y="448944"/>
          <a:ext cx="2353306" cy="389444"/>
        </a:xfrm>
        <a:prstGeom xmlns:a="http://schemas.openxmlformats.org/drawingml/2006/main" prst="wedgeRectCallout">
          <a:avLst>
            <a:gd name="adj1" fmla="val -33732"/>
            <a:gd name="adj2" fmla="val 159066"/>
          </a:avLst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sz="1800" b="1"/>
            <a:t>Covid-19 (March 2020)</a:t>
          </a:r>
          <a:endParaRPr lang="en-US" sz="1200" b="1"/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0.102</cdr:x>
      <cdr:y>0.34184</cdr:y>
    </cdr:from>
    <cdr:to>
      <cdr:x>0.46652</cdr:x>
      <cdr:y>0.48835</cdr:y>
    </cdr:to>
    <cdr:sp macro="" textlink="">
      <cdr:nvSpPr>
        <cdr:cNvPr id="2" name="Arrow: Left 1">
          <a:extLst xmlns:a="http://schemas.openxmlformats.org/drawingml/2006/main">
            <a:ext uri="{FF2B5EF4-FFF2-40B4-BE49-F238E27FC236}">
              <a16:creationId xmlns:a16="http://schemas.microsoft.com/office/drawing/2014/main" id="{DE5A9066-0C9F-4110-9DA2-65372F14267D}"/>
            </a:ext>
          </a:extLst>
        </cdr:cNvPr>
        <cdr:cNvSpPr/>
      </cdr:nvSpPr>
      <cdr:spPr>
        <a:xfrm xmlns:a="http://schemas.openxmlformats.org/drawingml/2006/main">
          <a:off x="825419" y="1445611"/>
          <a:ext cx="2949746" cy="619571"/>
        </a:xfrm>
        <a:prstGeom xmlns:a="http://schemas.openxmlformats.org/drawingml/2006/main" prst="leftArrow">
          <a:avLst/>
        </a:prstGeom>
        <a:noFill xmlns:a="http://schemas.openxmlformats.org/drawingml/2006/main"/>
        <a:ln xmlns:a="http://schemas.openxmlformats.org/drawingml/2006/main" w="28575">
          <a:solidFill>
            <a:srgbClr val="FFC000"/>
          </a:solidFill>
          <a:prstDash val="lgDash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0.49783</cdr:x>
      <cdr:y>0.07059</cdr:y>
    </cdr:from>
    <cdr:to>
      <cdr:x>0.50063</cdr:x>
      <cdr:y>0.95587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984F2893-3A8E-49D5-A0FE-03CC46C08777}"/>
            </a:ext>
          </a:extLst>
        </cdr:cNvPr>
        <cdr:cNvCxnSpPr/>
      </cdr:nvCxnSpPr>
      <cdr:spPr>
        <a:xfrm xmlns:a="http://schemas.openxmlformats.org/drawingml/2006/main" flipH="1">
          <a:off x="3714750" y="471435"/>
          <a:ext cx="20935" cy="5912237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tx1">
              <a:lumMod val="85000"/>
              <a:lumOff val="15000"/>
            </a:schemeClr>
          </a:solidFill>
          <a:prstDash val="lg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0.44873</cdr:x>
      <cdr:y>0.07015</cdr:y>
    </cdr:from>
    <cdr:to>
      <cdr:x>0.73909</cdr:x>
      <cdr:y>0.13051</cdr:y>
    </cdr:to>
    <cdr:sp macro="" textlink="">
      <cdr:nvSpPr>
        <cdr:cNvPr id="5" name="Speech Bubble: Rectangle 4">
          <a:extLst xmlns:a="http://schemas.openxmlformats.org/drawingml/2006/main">
            <a:ext uri="{FF2B5EF4-FFF2-40B4-BE49-F238E27FC236}">
              <a16:creationId xmlns:a16="http://schemas.microsoft.com/office/drawing/2014/main" id="{19BD998C-0B40-421C-A3C3-23D1CC4B689C}"/>
            </a:ext>
          </a:extLst>
        </cdr:cNvPr>
        <cdr:cNvSpPr/>
      </cdr:nvSpPr>
      <cdr:spPr>
        <a:xfrm xmlns:a="http://schemas.openxmlformats.org/drawingml/2006/main">
          <a:off x="3348405" y="450082"/>
          <a:ext cx="2166675" cy="387281"/>
        </a:xfrm>
        <a:prstGeom xmlns:a="http://schemas.openxmlformats.org/drawingml/2006/main" prst="wedgeRectCallout">
          <a:avLst>
            <a:gd name="adj1" fmla="val -33273"/>
            <a:gd name="adj2" fmla="val 140278"/>
          </a:avLst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sz="1600" b="1"/>
            <a:t>Covid-19</a:t>
          </a:r>
          <a:r>
            <a:rPr lang="en-US" sz="1600" b="1" baseline="0"/>
            <a:t> (March 2020)</a:t>
          </a:r>
          <a:endParaRPr lang="en-US" b="1"/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0.11373</cdr:x>
      <cdr:y>0.29599</cdr:y>
    </cdr:from>
    <cdr:to>
      <cdr:x>0.49722</cdr:x>
      <cdr:y>0.40046</cdr:y>
    </cdr:to>
    <cdr:sp macro="" textlink="">
      <cdr:nvSpPr>
        <cdr:cNvPr id="2" name="Arrow: Left 1">
          <a:extLst xmlns:a="http://schemas.openxmlformats.org/drawingml/2006/main">
            <a:ext uri="{FF2B5EF4-FFF2-40B4-BE49-F238E27FC236}">
              <a16:creationId xmlns:a16="http://schemas.microsoft.com/office/drawing/2014/main" id="{00000000-0008-0000-0500-000005000000}"/>
            </a:ext>
          </a:extLst>
        </cdr:cNvPr>
        <cdr:cNvSpPr/>
      </cdr:nvSpPr>
      <cdr:spPr>
        <a:xfrm xmlns:a="http://schemas.openxmlformats.org/drawingml/2006/main">
          <a:off x="858003" y="1778215"/>
          <a:ext cx="2893134" cy="627652"/>
        </a:xfrm>
        <a:prstGeom xmlns:a="http://schemas.openxmlformats.org/drawingml/2006/main" prst="leftArrow">
          <a:avLst/>
        </a:prstGeom>
        <a:noFill xmlns:a="http://schemas.openxmlformats.org/drawingml/2006/main"/>
        <a:ln xmlns:a="http://schemas.openxmlformats.org/drawingml/2006/main" w="38100">
          <a:solidFill>
            <a:srgbClr val="FFC000"/>
          </a:solidFill>
          <a:prstDash val="lgDash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IN" sz="1100"/>
        </a:p>
      </cdr:txBody>
    </cdr:sp>
  </cdr:relSizeAnchor>
  <cdr:relSizeAnchor xmlns:cdr="http://schemas.openxmlformats.org/drawingml/2006/chartDrawing">
    <cdr:from>
      <cdr:x>0.52459</cdr:x>
      <cdr:y>0.30136</cdr:y>
    </cdr:from>
    <cdr:to>
      <cdr:x>0.90808</cdr:x>
      <cdr:y>0.40584</cdr:y>
    </cdr:to>
    <cdr:sp macro="" textlink="">
      <cdr:nvSpPr>
        <cdr:cNvPr id="3" name="Arrow: Left 2">
          <a:extLst xmlns:a="http://schemas.openxmlformats.org/drawingml/2006/main">
            <a:ext uri="{FF2B5EF4-FFF2-40B4-BE49-F238E27FC236}">
              <a16:creationId xmlns:a16="http://schemas.microsoft.com/office/drawing/2014/main" id="{00000000-0008-0000-0500-000005000000}"/>
            </a:ext>
          </a:extLst>
        </cdr:cNvPr>
        <cdr:cNvSpPr/>
      </cdr:nvSpPr>
      <cdr:spPr>
        <a:xfrm xmlns:a="http://schemas.openxmlformats.org/drawingml/2006/main" rot="10800000">
          <a:off x="3957664" y="1810504"/>
          <a:ext cx="2893134" cy="627652"/>
        </a:xfrm>
        <a:prstGeom xmlns:a="http://schemas.openxmlformats.org/drawingml/2006/main" prst="leftArrow">
          <a:avLst/>
        </a:prstGeom>
        <a:noFill xmlns:a="http://schemas.openxmlformats.org/drawingml/2006/main"/>
        <a:ln xmlns:a="http://schemas.openxmlformats.org/drawingml/2006/main" w="38100">
          <a:solidFill>
            <a:srgbClr val="FFC000"/>
          </a:solidFill>
          <a:prstDash val="lgDash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IN" sz="1100"/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0.47868</cdr:x>
      <cdr:y>0.21178</cdr:y>
    </cdr:from>
    <cdr:to>
      <cdr:x>0.47868</cdr:x>
      <cdr:y>0.97733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046627D2-E3B2-4CE5-A697-0FC9077A46D5}"/>
            </a:ext>
          </a:extLst>
        </cdr:cNvPr>
        <cdr:cNvCxnSpPr/>
      </cdr:nvCxnSpPr>
      <cdr:spPr>
        <a:xfrm xmlns:a="http://schemas.openxmlformats.org/drawingml/2006/main">
          <a:off x="3875857" y="1298129"/>
          <a:ext cx="0" cy="4692633"/>
        </a:xfrm>
        <a:prstGeom xmlns:a="http://schemas.openxmlformats.org/drawingml/2006/main" prst="line">
          <a:avLst/>
        </a:prstGeom>
        <a:ln xmlns:a="http://schemas.openxmlformats.org/drawingml/2006/main" w="28575">
          <a:prstDash val="lg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0.42312</cdr:x>
      <cdr:y>0.1617</cdr:y>
    </cdr:from>
    <cdr:to>
      <cdr:x>0.71655</cdr:x>
      <cdr:y>0.23104</cdr:y>
    </cdr:to>
    <cdr:sp macro="" textlink="">
      <cdr:nvSpPr>
        <cdr:cNvPr id="3" name="Speech Bubble: Rectangle 2">
          <a:extLst xmlns:a="http://schemas.openxmlformats.org/drawingml/2006/main">
            <a:ext uri="{FF2B5EF4-FFF2-40B4-BE49-F238E27FC236}">
              <a16:creationId xmlns:a16="http://schemas.microsoft.com/office/drawing/2014/main" id="{9580F8BC-9F46-4BDD-ABEB-04734A82019E}"/>
            </a:ext>
          </a:extLst>
        </cdr:cNvPr>
        <cdr:cNvSpPr/>
      </cdr:nvSpPr>
      <cdr:spPr>
        <a:xfrm xmlns:a="http://schemas.openxmlformats.org/drawingml/2006/main">
          <a:off x="3398982" y="964815"/>
          <a:ext cx="2357197" cy="413712"/>
        </a:xfrm>
        <a:prstGeom xmlns:a="http://schemas.openxmlformats.org/drawingml/2006/main" prst="wedgeRectCallout">
          <a:avLst>
            <a:gd name="adj1" fmla="val -31577"/>
            <a:gd name="adj2" fmla="val 178779"/>
          </a:avLst>
        </a:prstGeom>
        <a:solidFill xmlns:a="http://schemas.openxmlformats.org/drawingml/2006/main">
          <a:srgbClr val="0070C0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IN" sz="1800" b="1"/>
            <a:t>Covid-19</a:t>
          </a:r>
          <a:r>
            <a:rPr lang="en-IN" sz="1800" b="1" baseline="0"/>
            <a:t> (March 2020)</a:t>
          </a:r>
          <a:endParaRPr lang="en-IN" sz="1100" b="1" baseline="0"/>
        </a:p>
      </cdr:txBody>
    </cdr:sp>
  </cdr:relSizeAnchor>
  <cdr:relSizeAnchor xmlns:cdr="http://schemas.openxmlformats.org/drawingml/2006/chartDrawing">
    <cdr:from>
      <cdr:x>0.10555</cdr:x>
      <cdr:y>0.30678</cdr:y>
    </cdr:from>
    <cdr:to>
      <cdr:x>0.46147</cdr:x>
      <cdr:y>0.41126</cdr:y>
    </cdr:to>
    <cdr:sp macro="" textlink="">
      <cdr:nvSpPr>
        <cdr:cNvPr id="4" name="Arrow: Left 3">
          <a:extLst xmlns:a="http://schemas.openxmlformats.org/drawingml/2006/main">
            <a:ext uri="{FF2B5EF4-FFF2-40B4-BE49-F238E27FC236}">
              <a16:creationId xmlns:a16="http://schemas.microsoft.com/office/drawing/2014/main" id="{00000000-0008-0000-0500-000005000000}"/>
            </a:ext>
          </a:extLst>
        </cdr:cNvPr>
        <cdr:cNvSpPr/>
      </cdr:nvSpPr>
      <cdr:spPr>
        <a:xfrm xmlns:a="http://schemas.openxmlformats.org/drawingml/2006/main">
          <a:off x="858003" y="1842792"/>
          <a:ext cx="2893134" cy="627652"/>
        </a:xfrm>
        <a:prstGeom xmlns:a="http://schemas.openxmlformats.org/drawingml/2006/main" prst="leftArrow">
          <a:avLst/>
        </a:prstGeom>
        <a:noFill xmlns:a="http://schemas.openxmlformats.org/drawingml/2006/main"/>
        <a:ln xmlns:a="http://schemas.openxmlformats.org/drawingml/2006/main" w="38100">
          <a:solidFill>
            <a:srgbClr val="FFC000"/>
          </a:solidFill>
          <a:prstDash val="lgDash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IN" sz="1100"/>
        </a:p>
      </cdr:txBody>
    </cdr:sp>
  </cdr:relSizeAnchor>
  <cdr:relSizeAnchor xmlns:cdr="http://schemas.openxmlformats.org/drawingml/2006/chartDrawing">
    <cdr:from>
      <cdr:x>0.49711</cdr:x>
      <cdr:y>0.30678</cdr:y>
    </cdr:from>
    <cdr:to>
      <cdr:x>0.85303</cdr:x>
      <cdr:y>0.41126</cdr:y>
    </cdr:to>
    <cdr:sp macro="" textlink="">
      <cdr:nvSpPr>
        <cdr:cNvPr id="5" name="Arrow: Left 4">
          <a:extLst xmlns:a="http://schemas.openxmlformats.org/drawingml/2006/main">
            <a:ext uri="{FF2B5EF4-FFF2-40B4-BE49-F238E27FC236}">
              <a16:creationId xmlns:a16="http://schemas.microsoft.com/office/drawing/2014/main" id="{00000000-0008-0000-0500-000005000000}"/>
            </a:ext>
          </a:extLst>
        </cdr:cNvPr>
        <cdr:cNvSpPr/>
      </cdr:nvSpPr>
      <cdr:spPr>
        <a:xfrm xmlns:a="http://schemas.openxmlformats.org/drawingml/2006/main" rot="10800000">
          <a:off x="4040832" y="1842792"/>
          <a:ext cx="2893134" cy="627652"/>
        </a:xfrm>
        <a:prstGeom xmlns:a="http://schemas.openxmlformats.org/drawingml/2006/main" prst="leftArrow">
          <a:avLst/>
        </a:prstGeom>
        <a:noFill xmlns:a="http://schemas.openxmlformats.org/drawingml/2006/main"/>
        <a:ln xmlns:a="http://schemas.openxmlformats.org/drawingml/2006/main" w="38100">
          <a:solidFill>
            <a:srgbClr val="FFC000"/>
          </a:solidFill>
          <a:prstDash val="lgDash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IN" sz="1100"/>
        </a:p>
      </cdr:txBody>
    </cdr:sp>
  </cdr:relSizeAnchor>
  <cdr:relSizeAnchor xmlns:cdr="http://schemas.openxmlformats.org/drawingml/2006/chartDrawing">
    <cdr:from>
      <cdr:x>0.62361</cdr:x>
      <cdr:y>0.60027</cdr:y>
    </cdr:from>
    <cdr:to>
      <cdr:x>0.69179</cdr:x>
      <cdr:y>0.68586</cdr:y>
    </cdr:to>
    <cdr:sp macro="" textlink="">
      <cdr:nvSpPr>
        <cdr:cNvPr id="6" name="Oval 5">
          <a:extLst xmlns:a="http://schemas.openxmlformats.org/drawingml/2006/main">
            <a:ext uri="{FF2B5EF4-FFF2-40B4-BE49-F238E27FC236}">
              <a16:creationId xmlns:a16="http://schemas.microsoft.com/office/drawing/2014/main" id="{B29412E1-925E-4E1E-9695-3422D80BA47C}"/>
            </a:ext>
          </a:extLst>
        </cdr:cNvPr>
        <cdr:cNvSpPr/>
      </cdr:nvSpPr>
      <cdr:spPr>
        <a:xfrm xmlns:a="http://schemas.openxmlformats.org/drawingml/2006/main">
          <a:off x="5025781" y="3545743"/>
          <a:ext cx="549519" cy="505558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IN" sz="1100"/>
        </a:p>
      </cdr:txBody>
    </cdr:sp>
  </cdr:relSizeAnchor>
  <cdr:relSizeAnchor xmlns:cdr="http://schemas.openxmlformats.org/drawingml/2006/chartDrawing">
    <cdr:from>
      <cdr:x>0.82089</cdr:x>
      <cdr:y>0.48492</cdr:y>
    </cdr:from>
    <cdr:to>
      <cdr:x>0.88908</cdr:x>
      <cdr:y>0.5705</cdr:y>
    </cdr:to>
    <cdr:sp macro="" textlink="">
      <cdr:nvSpPr>
        <cdr:cNvPr id="7" name="Oval 6">
          <a:extLst xmlns:a="http://schemas.openxmlformats.org/drawingml/2006/main">
            <a:ext uri="{FF2B5EF4-FFF2-40B4-BE49-F238E27FC236}">
              <a16:creationId xmlns:a16="http://schemas.microsoft.com/office/drawing/2014/main" id="{6D166F96-C902-4199-877F-224548A0DBB7}"/>
            </a:ext>
          </a:extLst>
        </cdr:cNvPr>
        <cdr:cNvSpPr/>
      </cdr:nvSpPr>
      <cdr:spPr>
        <a:xfrm xmlns:a="http://schemas.openxmlformats.org/drawingml/2006/main">
          <a:off x="6615723" y="2864338"/>
          <a:ext cx="549519" cy="505558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IN" sz="1100"/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0.49742</cdr:x>
      <cdr:y>0.21023</cdr:y>
    </cdr:from>
    <cdr:to>
      <cdr:x>0.49742</cdr:x>
      <cdr:y>0.97934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B24CF330-99BC-439A-96E2-F3A6557FA88B}"/>
            </a:ext>
          </a:extLst>
        </cdr:cNvPr>
        <cdr:cNvCxnSpPr/>
      </cdr:nvCxnSpPr>
      <cdr:spPr>
        <a:xfrm xmlns:a="http://schemas.openxmlformats.org/drawingml/2006/main">
          <a:off x="3676249" y="1283038"/>
          <a:ext cx="0" cy="4693837"/>
        </a:xfrm>
        <a:prstGeom xmlns:a="http://schemas.openxmlformats.org/drawingml/2006/main" prst="line">
          <a:avLst/>
        </a:prstGeom>
        <a:ln xmlns:a="http://schemas.openxmlformats.org/drawingml/2006/main" w="28575">
          <a:prstDash val="lg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0.43603</cdr:x>
      <cdr:y>0.16567</cdr:y>
    </cdr:from>
    <cdr:to>
      <cdr:x>0.75754</cdr:x>
      <cdr:y>0.23532</cdr:y>
    </cdr:to>
    <cdr:sp macro="" textlink="">
      <cdr:nvSpPr>
        <cdr:cNvPr id="3" name="Speech Bubble: Rectangle 2">
          <a:extLst xmlns:a="http://schemas.openxmlformats.org/drawingml/2006/main">
            <a:ext uri="{FF2B5EF4-FFF2-40B4-BE49-F238E27FC236}">
              <a16:creationId xmlns:a16="http://schemas.microsoft.com/office/drawing/2014/main" id="{9580F8BC-9F46-4BDD-ABEB-04734A82019E}"/>
            </a:ext>
          </a:extLst>
        </cdr:cNvPr>
        <cdr:cNvSpPr/>
      </cdr:nvSpPr>
      <cdr:spPr>
        <a:xfrm xmlns:a="http://schemas.openxmlformats.org/drawingml/2006/main">
          <a:off x="3196937" y="984057"/>
          <a:ext cx="2357197" cy="413712"/>
        </a:xfrm>
        <a:prstGeom xmlns:a="http://schemas.openxmlformats.org/drawingml/2006/main" prst="wedgeRectCallout">
          <a:avLst>
            <a:gd name="adj1" fmla="val -31577"/>
            <a:gd name="adj2" fmla="val 178779"/>
          </a:avLst>
        </a:prstGeom>
        <a:solidFill xmlns:a="http://schemas.openxmlformats.org/drawingml/2006/main">
          <a:srgbClr val="0070C0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IN" sz="1800" b="1"/>
            <a:t>Covid-19</a:t>
          </a:r>
          <a:r>
            <a:rPr lang="en-IN" sz="1800" b="1" baseline="0"/>
            <a:t> (March 2020)</a:t>
          </a:r>
          <a:endParaRPr lang="en-IN" sz="1100" b="1" baseline="0"/>
        </a:p>
      </cdr:txBody>
    </cdr:sp>
  </cdr:relSizeAnchor>
  <cdr:relSizeAnchor xmlns:cdr="http://schemas.openxmlformats.org/drawingml/2006/chartDrawing">
    <cdr:from>
      <cdr:x>0.51815</cdr:x>
      <cdr:y>0.30815</cdr:y>
    </cdr:from>
    <cdr:to>
      <cdr:x>0.90807</cdr:x>
      <cdr:y>0.4131</cdr:y>
    </cdr:to>
    <cdr:sp macro="" textlink="">
      <cdr:nvSpPr>
        <cdr:cNvPr id="4" name="Arrow: Left 3">
          <a:extLst xmlns:a="http://schemas.openxmlformats.org/drawingml/2006/main">
            <a:ext uri="{FF2B5EF4-FFF2-40B4-BE49-F238E27FC236}">
              <a16:creationId xmlns:a16="http://schemas.microsoft.com/office/drawing/2014/main" id="{00000000-0008-0000-0500-000005000000}"/>
            </a:ext>
          </a:extLst>
        </cdr:cNvPr>
        <cdr:cNvSpPr/>
      </cdr:nvSpPr>
      <cdr:spPr>
        <a:xfrm xmlns:a="http://schemas.openxmlformats.org/drawingml/2006/main" rot="10800000">
          <a:off x="3844656" y="1842792"/>
          <a:ext cx="2893134" cy="627652"/>
        </a:xfrm>
        <a:prstGeom xmlns:a="http://schemas.openxmlformats.org/drawingml/2006/main" prst="leftArrow">
          <a:avLst/>
        </a:prstGeom>
        <a:noFill xmlns:a="http://schemas.openxmlformats.org/drawingml/2006/main"/>
        <a:ln xmlns:a="http://schemas.openxmlformats.org/drawingml/2006/main" w="38100">
          <a:solidFill>
            <a:srgbClr val="FFC000"/>
          </a:solidFill>
          <a:prstDash val="lgDash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IN" sz="1100"/>
        </a:p>
      </cdr:txBody>
    </cdr:sp>
  </cdr:relSizeAnchor>
  <cdr:relSizeAnchor xmlns:cdr="http://schemas.openxmlformats.org/drawingml/2006/chartDrawing">
    <cdr:from>
      <cdr:x>0.08735</cdr:x>
      <cdr:y>0.30815</cdr:y>
    </cdr:from>
    <cdr:to>
      <cdr:x>0.47727</cdr:x>
      <cdr:y>0.4131</cdr:y>
    </cdr:to>
    <cdr:sp macro="" textlink="">
      <cdr:nvSpPr>
        <cdr:cNvPr id="5" name="Arrow: Left 4">
          <a:extLst xmlns:a="http://schemas.openxmlformats.org/drawingml/2006/main">
            <a:ext uri="{FF2B5EF4-FFF2-40B4-BE49-F238E27FC236}">
              <a16:creationId xmlns:a16="http://schemas.microsoft.com/office/drawing/2014/main" id="{00000000-0008-0000-0500-000005000000}"/>
            </a:ext>
          </a:extLst>
        </cdr:cNvPr>
        <cdr:cNvSpPr/>
      </cdr:nvSpPr>
      <cdr:spPr>
        <a:xfrm xmlns:a="http://schemas.openxmlformats.org/drawingml/2006/main">
          <a:off x="648130" y="1842792"/>
          <a:ext cx="2893134" cy="627652"/>
        </a:xfrm>
        <a:prstGeom xmlns:a="http://schemas.openxmlformats.org/drawingml/2006/main" prst="leftArrow">
          <a:avLst/>
        </a:prstGeom>
        <a:noFill xmlns:a="http://schemas.openxmlformats.org/drawingml/2006/main"/>
        <a:ln xmlns:a="http://schemas.openxmlformats.org/drawingml/2006/main" w="38100">
          <a:solidFill>
            <a:srgbClr val="FFC000"/>
          </a:solidFill>
          <a:prstDash val="lgDash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IN" sz="1100"/>
        </a:p>
      </cdr:txBody>
    </cdr:sp>
  </cdr:relSizeAnchor>
  <cdr:relSizeAnchor xmlns:cdr="http://schemas.openxmlformats.org/drawingml/2006/chartDrawing">
    <cdr:from>
      <cdr:x>0.59272</cdr:x>
      <cdr:y>0.63435</cdr:y>
    </cdr:from>
    <cdr:to>
      <cdr:x>0.69731</cdr:x>
      <cdr:y>0.75273</cdr:y>
    </cdr:to>
    <cdr:sp macro="" textlink="">
      <cdr:nvSpPr>
        <cdr:cNvPr id="6" name="Oval 5">
          <a:extLst xmlns:a="http://schemas.openxmlformats.org/drawingml/2006/main">
            <a:ext uri="{FF2B5EF4-FFF2-40B4-BE49-F238E27FC236}">
              <a16:creationId xmlns:a16="http://schemas.microsoft.com/office/drawing/2014/main" id="{C08423D4-1C0D-4E09-97C3-A2459955DC40}"/>
            </a:ext>
          </a:extLst>
        </cdr:cNvPr>
        <cdr:cNvSpPr/>
      </cdr:nvSpPr>
      <cdr:spPr>
        <a:xfrm xmlns:a="http://schemas.openxmlformats.org/drawingml/2006/main">
          <a:off x="4359928" y="3730055"/>
          <a:ext cx="769327" cy="696057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IN" sz="1100"/>
        </a:p>
      </cdr:txBody>
    </cdr:sp>
  </cdr:relSizeAnchor>
  <cdr:relSizeAnchor xmlns:cdr="http://schemas.openxmlformats.org/drawingml/2006/chartDrawing">
    <cdr:from>
      <cdr:x>0.81771</cdr:x>
      <cdr:y>0.42358</cdr:y>
    </cdr:from>
    <cdr:to>
      <cdr:x>0.89241</cdr:x>
      <cdr:y>0.50955</cdr:y>
    </cdr:to>
    <cdr:sp macro="" textlink="">
      <cdr:nvSpPr>
        <cdr:cNvPr id="7" name="Oval 6">
          <a:extLst xmlns:a="http://schemas.openxmlformats.org/drawingml/2006/main">
            <a:ext uri="{FF2B5EF4-FFF2-40B4-BE49-F238E27FC236}">
              <a16:creationId xmlns:a16="http://schemas.microsoft.com/office/drawing/2014/main" id="{C08423D4-1C0D-4E09-97C3-A2459955DC40}"/>
            </a:ext>
          </a:extLst>
        </cdr:cNvPr>
        <cdr:cNvSpPr/>
      </cdr:nvSpPr>
      <cdr:spPr>
        <a:xfrm xmlns:a="http://schemas.openxmlformats.org/drawingml/2006/main">
          <a:off x="6014915" y="2490665"/>
          <a:ext cx="549519" cy="505558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IN" sz="1100"/>
        </a:p>
      </cdr:txBody>
    </cdr:sp>
  </cdr:relSizeAnchor>
  <cdr:relSizeAnchor xmlns:cdr="http://schemas.openxmlformats.org/drawingml/2006/chartDrawing">
    <cdr:from>
      <cdr:x>0.82468</cdr:x>
      <cdr:y>0.5108</cdr:y>
    </cdr:from>
    <cdr:to>
      <cdr:x>0.89939</cdr:x>
      <cdr:y>0.59678</cdr:y>
    </cdr:to>
    <cdr:sp macro="" textlink="">
      <cdr:nvSpPr>
        <cdr:cNvPr id="8" name="Oval 7">
          <a:extLst xmlns:a="http://schemas.openxmlformats.org/drawingml/2006/main">
            <a:ext uri="{FF2B5EF4-FFF2-40B4-BE49-F238E27FC236}">
              <a16:creationId xmlns:a16="http://schemas.microsoft.com/office/drawing/2014/main" id="{C08423D4-1C0D-4E09-97C3-A2459955DC40}"/>
            </a:ext>
          </a:extLst>
        </cdr:cNvPr>
        <cdr:cNvSpPr/>
      </cdr:nvSpPr>
      <cdr:spPr>
        <a:xfrm xmlns:a="http://schemas.openxmlformats.org/drawingml/2006/main">
          <a:off x="6066203" y="3003550"/>
          <a:ext cx="549519" cy="505558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IN" sz="1100"/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1048577</xdr:colOff>
      <xdr:row>9</xdr:row>
      <xdr:rowOff>181266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3015D5-2DF8-4D2F-82C6-0311F5068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25377" cy="20862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1077156</xdr:colOff>
      <xdr:row>9</xdr:row>
      <xdr:rowOff>133635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8A4C1C-D94B-469C-8F54-543080E01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5953956" cy="203863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0</xdr:row>
      <xdr:rowOff>0</xdr:rowOff>
    </xdr:from>
    <xdr:to>
      <xdr:col>16</xdr:col>
      <xdr:colOff>438150</xdr:colOff>
      <xdr:row>20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FBEEB3-B25A-4951-B777-063942B113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47625</xdr:colOff>
      <xdr:row>2</xdr:row>
      <xdr:rowOff>76200</xdr:rowOff>
    </xdr:from>
    <xdr:to>
      <xdr:col>13</xdr:col>
      <xdr:colOff>47625</xdr:colOff>
      <xdr:row>19</xdr:row>
      <xdr:rowOff>95250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85BD7DD-0D89-411C-B4C9-D94EA9A68AF9}"/>
            </a:ext>
          </a:extLst>
        </xdr:cNvPr>
        <xdr:cNvCxnSpPr/>
      </xdr:nvCxnSpPr>
      <xdr:spPr>
        <a:xfrm>
          <a:off x="8610600" y="457200"/>
          <a:ext cx="0" cy="325755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0</xdr:row>
      <xdr:rowOff>133350</xdr:rowOff>
    </xdr:from>
    <xdr:to>
      <xdr:col>15</xdr:col>
      <xdr:colOff>123825</xdr:colOff>
      <xdr:row>2</xdr:row>
      <xdr:rowOff>180975</xdr:rowOff>
    </xdr:to>
    <xdr:sp macro="" textlink="">
      <xdr:nvSpPr>
        <xdr:cNvPr id="5" name="Speech Bubble: Rectangle 4">
          <a:extLst>
            <a:ext uri="{FF2B5EF4-FFF2-40B4-BE49-F238E27FC236}">
              <a16:creationId xmlns:a16="http://schemas.microsoft.com/office/drawing/2014/main" id="{17986088-E8FF-467C-A5E1-7242F6B59090}"/>
            </a:ext>
          </a:extLst>
        </xdr:cNvPr>
        <xdr:cNvSpPr/>
      </xdr:nvSpPr>
      <xdr:spPr>
        <a:xfrm>
          <a:off x="8620125" y="133350"/>
          <a:ext cx="1285875" cy="428625"/>
        </a:xfrm>
        <a:prstGeom prst="wedgeRectCallout">
          <a:avLst>
            <a:gd name="adj1" fmla="val -48988"/>
            <a:gd name="adj2" fmla="val 146944"/>
          </a:avLst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Covid</a:t>
          </a:r>
          <a:r>
            <a:rPr lang="en-IN" sz="2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-19</a:t>
          </a:r>
          <a:endParaRPr lang="en-IN" sz="11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29D4A9-4E61-4D75-BE32-D08BBB6EFDAE}" name="Table1" displayName="Table1" ref="A1:AD373" totalsRowShown="0">
  <autoFilter ref="A1:AD373" xr:uid="{A2FDE96F-664C-46F8-A420-3FEC356B99FE}"/>
  <tableColumns count="30">
    <tableColumn id="1" xr3:uid="{7F3E043A-F07A-4B81-AA68-300CDBAF2F29}" name="Sector"/>
    <tableColumn id="2" xr3:uid="{57470B13-ECC7-46FF-9AFB-CB04CBBF96A7}" name="Year"/>
    <tableColumn id="3" xr3:uid="{8A8FA1A4-0094-4B55-AA92-3614C9F0707C}" name="Month"/>
    <tableColumn id="4" xr3:uid="{F2197C76-61AB-4687-90EA-02E057A52BD6}" name="Cereals and products"/>
    <tableColumn id="5" xr3:uid="{BB04844D-1337-4F81-83EA-71BCFD0D4E65}" name="Meat and fish"/>
    <tableColumn id="6" xr3:uid="{1AEC9C49-95B5-449E-8057-773744EAF1AA}" name="Egg"/>
    <tableColumn id="7" xr3:uid="{C9AC8482-4F18-4AD0-B40C-F7B9E7BFA79D}" name="Milk and products"/>
    <tableColumn id="8" xr3:uid="{54464F47-0047-4911-BF22-710B95A49CAF}" name="Oils and fats"/>
    <tableColumn id="9" xr3:uid="{6C48F439-767B-4419-B966-EA64987F7C13}" name="Fruits"/>
    <tableColumn id="10" xr3:uid="{39C8CD83-DAFB-4A66-8011-732573A0D868}" name="Vegetables"/>
    <tableColumn id="11" xr3:uid="{AA418F47-CBF5-4D9E-A0E4-9F38F827A569}" name="Pulses and products"/>
    <tableColumn id="12" xr3:uid="{E92765AB-6FF9-4D8F-8EDF-6623B8B3064A}" name="Sugar and Confectionery"/>
    <tableColumn id="13" xr3:uid="{70CB60AF-D23E-47FA-9001-EA886E571274}" name="Spices"/>
    <tableColumn id="14" xr3:uid="{21FA6FA1-54DD-4922-8AFF-5ABAD15D647B}" name="Non-alcoholic beverages"/>
    <tableColumn id="15" xr3:uid="{346C0AD3-1909-4A87-9324-EF9ACBD79C2B}" name="Prepared meals, snacks, sweets etc."/>
    <tableColumn id="16" xr3:uid="{25BB81CB-6B8B-46CF-90CB-A5FA91067E95}" name="Food and beverages"/>
    <tableColumn id="17" xr3:uid="{C5039642-2CDF-427E-978F-92B8636DB5FC}" name="Pan, tobacco and intoxicants"/>
    <tableColumn id="18" xr3:uid="{A6ACFDF9-2320-44CD-92CF-8759A6695D68}" name="Clothing"/>
    <tableColumn id="19" xr3:uid="{F2D71105-3F03-467D-AA99-6037C6F73999}" name="Footwear"/>
    <tableColumn id="20" xr3:uid="{5B0544D4-1CC1-4626-95F5-6A5BAA0532D6}" name="Clothing and footwear"/>
    <tableColumn id="21" xr3:uid="{D2954371-5456-45F3-9AE1-ABA17E7F3FAC}" name="Housing"/>
    <tableColumn id="22" xr3:uid="{2831004D-6996-47DD-93F7-1B2DD4A9BB41}" name="Fuel and light"/>
    <tableColumn id="23" xr3:uid="{97530FE7-6428-4574-9CCC-0D82ED7BBA86}" name="Household goods and services"/>
    <tableColumn id="24" xr3:uid="{DC36E966-1F18-4187-871F-304351378D4E}" name="Health"/>
    <tableColumn id="25" xr3:uid="{24D54171-78F8-40DB-8E30-7ED2E78EDAA8}" name="Transport and communication"/>
    <tableColumn id="26" xr3:uid="{CE4018B9-D77F-432E-84EE-58530EBC5A2A}" name="Recreation and amusement"/>
    <tableColumn id="27" xr3:uid="{B739B705-355D-49D0-9177-60156721A67F}" name="Education"/>
    <tableColumn id="28" xr3:uid="{8E914266-6DDB-4088-8CE0-03D39FA7ABC3}" name="Personal care and effects"/>
    <tableColumn id="29" xr3:uid="{EF65B50B-E8F0-4EA1-8769-F0D75D92D014}" name="Miscellaneous"/>
    <tableColumn id="30" xr3:uid="{EE6E7104-18D8-4BEC-820B-CD37EF1E1F63}" name="General inde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4DF4-E811-48B0-B904-565DFFD410C2}">
  <dimension ref="A1:AD373"/>
  <sheetViews>
    <sheetView topLeftCell="D108" zoomScale="79" workbookViewId="0">
      <selection activeCell="E14" sqref="E14"/>
    </sheetView>
  </sheetViews>
  <sheetFormatPr defaultRowHeight="15" x14ac:dyDescent="0.25"/>
  <cols>
    <col min="4" max="4" width="21.5703125" customWidth="1"/>
    <col min="5" max="5" width="15.28515625" customWidth="1"/>
    <col min="7" max="7" width="19" customWidth="1"/>
    <col min="8" max="8" width="14" customWidth="1"/>
    <col min="10" max="10" width="13.140625" customWidth="1"/>
    <col min="11" max="11" width="20.7109375" customWidth="1"/>
    <col min="12" max="12" width="24.7109375" customWidth="1"/>
    <col min="14" max="14" width="25" customWidth="1"/>
    <col min="15" max="15" width="34.7109375" customWidth="1"/>
    <col min="16" max="16" width="20.85546875" customWidth="1"/>
    <col min="17" max="17" width="28.140625" customWidth="1"/>
    <col min="18" max="18" width="10.5703125" customWidth="1"/>
    <col min="19" max="19" width="11.5703125" customWidth="1"/>
    <col min="20" max="20" width="22.85546875" customWidth="1"/>
    <col min="21" max="21" width="10.28515625" customWidth="1"/>
    <col min="22" max="22" width="15.140625" customWidth="1"/>
    <col min="23" max="23" width="29.7109375" customWidth="1"/>
    <col min="25" max="25" width="29.42578125" customWidth="1"/>
    <col min="26" max="26" width="27.42578125" customWidth="1"/>
    <col min="27" max="27" width="11.85546875" customWidth="1"/>
    <col min="28" max="28" width="25.28515625" customWidth="1"/>
    <col min="29" max="29" width="16" customWidth="1"/>
    <col min="30" max="30" width="15.7109375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</v>
      </c>
      <c r="Q1" t="s">
        <v>4</v>
      </c>
      <c r="R1" t="s">
        <v>39</v>
      </c>
      <c r="S1" t="s">
        <v>40</v>
      </c>
      <c r="T1" t="s">
        <v>5</v>
      </c>
      <c r="U1" t="s">
        <v>41</v>
      </c>
      <c r="V1" t="s">
        <v>7</v>
      </c>
      <c r="W1" t="s">
        <v>6</v>
      </c>
      <c r="X1" t="s">
        <v>42</v>
      </c>
      <c r="Y1" t="s">
        <v>43</v>
      </c>
      <c r="Z1" t="s">
        <v>44</v>
      </c>
      <c r="AA1" t="s">
        <v>45</v>
      </c>
      <c r="AB1" t="s">
        <v>46</v>
      </c>
      <c r="AC1" t="s">
        <v>8</v>
      </c>
      <c r="AD1" t="s">
        <v>47</v>
      </c>
    </row>
    <row r="2" spans="1:30" x14ac:dyDescent="0.25">
      <c r="A2" t="s">
        <v>9</v>
      </c>
      <c r="B2">
        <v>2013</v>
      </c>
      <c r="C2" t="s">
        <v>10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26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 x14ac:dyDescent="0.25">
      <c r="A3" t="s">
        <v>11</v>
      </c>
      <c r="B3">
        <v>2013</v>
      </c>
      <c r="C3" t="s">
        <v>10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 x14ac:dyDescent="0.25">
      <c r="A4" t="s">
        <v>12</v>
      </c>
      <c r="B4">
        <v>2013</v>
      </c>
      <c r="C4" t="s">
        <v>10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 x14ac:dyDescent="0.25">
      <c r="A5" t="s">
        <v>9</v>
      </c>
      <c r="B5">
        <v>2013</v>
      </c>
      <c r="C5" t="s">
        <v>13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26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 x14ac:dyDescent="0.25">
      <c r="A6" t="s">
        <v>11</v>
      </c>
      <c r="B6">
        <v>2013</v>
      </c>
      <c r="C6" t="s">
        <v>13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 x14ac:dyDescent="0.25">
      <c r="A7" t="s">
        <v>12</v>
      </c>
      <c r="B7">
        <v>2013</v>
      </c>
      <c r="C7" t="s">
        <v>13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 x14ac:dyDescent="0.25">
      <c r="A8" t="s">
        <v>9</v>
      </c>
      <c r="B8">
        <v>2013</v>
      </c>
      <c r="C8" t="s">
        <v>15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26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 x14ac:dyDescent="0.25">
      <c r="A9" t="s">
        <v>11</v>
      </c>
      <c r="B9">
        <v>2013</v>
      </c>
      <c r="C9" t="s">
        <v>15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 x14ac:dyDescent="0.25">
      <c r="A10" t="s">
        <v>12</v>
      </c>
      <c r="B10">
        <v>2013</v>
      </c>
      <c r="C10" t="s">
        <v>15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 x14ac:dyDescent="0.25">
      <c r="A11" t="s">
        <v>9</v>
      </c>
      <c r="B11">
        <v>2013</v>
      </c>
      <c r="C11" t="s">
        <v>16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26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 x14ac:dyDescent="0.25">
      <c r="A12" t="s">
        <v>11</v>
      </c>
      <c r="B12">
        <v>2013</v>
      </c>
      <c r="C12" t="s">
        <v>16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 x14ac:dyDescent="0.25">
      <c r="A13" t="s">
        <v>12</v>
      </c>
      <c r="B13">
        <v>2013</v>
      </c>
      <c r="C13" t="s">
        <v>16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 x14ac:dyDescent="0.25">
      <c r="A14" t="s">
        <v>9</v>
      </c>
      <c r="B14">
        <v>2013</v>
      </c>
      <c r="C14" t="s">
        <v>14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26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 x14ac:dyDescent="0.25">
      <c r="A15" t="s">
        <v>11</v>
      </c>
      <c r="B15">
        <v>2013</v>
      </c>
      <c r="C15" t="s">
        <v>14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 x14ac:dyDescent="0.25">
      <c r="A16" t="s">
        <v>12</v>
      </c>
      <c r="B16">
        <v>2013</v>
      </c>
      <c r="C16" t="s">
        <v>14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x14ac:dyDescent="0.25">
      <c r="A17" t="s">
        <v>9</v>
      </c>
      <c r="B17">
        <v>2013</v>
      </c>
      <c r="C17" t="s">
        <v>17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26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x14ac:dyDescent="0.25">
      <c r="A18" t="s">
        <v>11</v>
      </c>
      <c r="B18">
        <v>2013</v>
      </c>
      <c r="C18" t="s">
        <v>17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x14ac:dyDescent="0.25">
      <c r="A19" t="s">
        <v>12</v>
      </c>
      <c r="B19">
        <v>2013</v>
      </c>
      <c r="C19" t="s">
        <v>17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x14ac:dyDescent="0.25">
      <c r="A20" t="s">
        <v>9</v>
      </c>
      <c r="B20">
        <v>2013</v>
      </c>
      <c r="C20" t="s">
        <v>18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26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x14ac:dyDescent="0.25">
      <c r="A21" t="s">
        <v>11</v>
      </c>
      <c r="B21">
        <v>2013</v>
      </c>
      <c r="C21" t="s">
        <v>18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x14ac:dyDescent="0.25">
      <c r="A22" t="s">
        <v>12</v>
      </c>
      <c r="B22">
        <v>2013</v>
      </c>
      <c r="C22" t="s">
        <v>18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x14ac:dyDescent="0.25">
      <c r="A23" t="s">
        <v>9</v>
      </c>
      <c r="B23">
        <v>2013</v>
      </c>
      <c r="C23" t="s">
        <v>19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26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x14ac:dyDescent="0.25">
      <c r="A24" t="s">
        <v>11</v>
      </c>
      <c r="B24">
        <v>2013</v>
      </c>
      <c r="C24" t="s">
        <v>19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x14ac:dyDescent="0.25">
      <c r="A25" t="s">
        <v>12</v>
      </c>
      <c r="B25">
        <v>2013</v>
      </c>
      <c r="C25" t="s">
        <v>19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x14ac:dyDescent="0.25">
      <c r="A26" t="s">
        <v>9</v>
      </c>
      <c r="B26">
        <v>2013</v>
      </c>
      <c r="C26" t="s">
        <v>20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26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x14ac:dyDescent="0.25">
      <c r="A27" t="s">
        <v>11</v>
      </c>
      <c r="B27">
        <v>2013</v>
      </c>
      <c r="C27" t="s">
        <v>20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x14ac:dyDescent="0.25">
      <c r="A28" t="s">
        <v>12</v>
      </c>
      <c r="B28">
        <v>2013</v>
      </c>
      <c r="C28" t="s">
        <v>20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x14ac:dyDescent="0.25">
      <c r="A29" t="s">
        <v>9</v>
      </c>
      <c r="B29">
        <v>2013</v>
      </c>
      <c r="C29" t="s">
        <v>21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26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x14ac:dyDescent="0.25">
      <c r="A30" t="s">
        <v>11</v>
      </c>
      <c r="B30">
        <v>2013</v>
      </c>
      <c r="C30" t="s">
        <v>21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x14ac:dyDescent="0.25">
      <c r="A31" t="s">
        <v>12</v>
      </c>
      <c r="B31">
        <v>2013</v>
      </c>
      <c r="C31" t="s">
        <v>21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x14ac:dyDescent="0.25">
      <c r="A32" t="s">
        <v>9</v>
      </c>
      <c r="B32">
        <v>2013</v>
      </c>
      <c r="C32" t="s">
        <v>22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26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x14ac:dyDescent="0.25">
      <c r="A33" t="s">
        <v>11</v>
      </c>
      <c r="B33">
        <v>2013</v>
      </c>
      <c r="C33" t="s">
        <v>23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x14ac:dyDescent="0.25">
      <c r="A34" t="s">
        <v>12</v>
      </c>
      <c r="B34">
        <v>2013</v>
      </c>
      <c r="C34" t="s">
        <v>23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x14ac:dyDescent="0.25">
      <c r="A35" t="s">
        <v>9</v>
      </c>
      <c r="B35">
        <v>2013</v>
      </c>
      <c r="C35" t="s">
        <v>24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26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x14ac:dyDescent="0.25">
      <c r="A36" t="s">
        <v>11</v>
      </c>
      <c r="B36">
        <v>2013</v>
      </c>
      <c r="C36" t="s">
        <v>24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x14ac:dyDescent="0.25">
      <c r="A37" t="s">
        <v>12</v>
      </c>
      <c r="B37">
        <v>2013</v>
      </c>
      <c r="C37" t="s">
        <v>24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x14ac:dyDescent="0.25">
      <c r="A38" t="s">
        <v>9</v>
      </c>
      <c r="B38">
        <v>2014</v>
      </c>
      <c r="C38" t="s">
        <v>10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26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x14ac:dyDescent="0.25">
      <c r="A39" t="s">
        <v>11</v>
      </c>
      <c r="B39">
        <v>2014</v>
      </c>
      <c r="C39" t="s">
        <v>10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x14ac:dyDescent="0.25">
      <c r="A40" t="s">
        <v>12</v>
      </c>
      <c r="B40">
        <v>2014</v>
      </c>
      <c r="C40" t="s">
        <v>10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x14ac:dyDescent="0.25">
      <c r="A41" t="s">
        <v>9</v>
      </c>
      <c r="B41">
        <v>2014</v>
      </c>
      <c r="C41" t="s">
        <v>13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26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x14ac:dyDescent="0.25">
      <c r="A42" t="s">
        <v>11</v>
      </c>
      <c r="B42">
        <v>2014</v>
      </c>
      <c r="C42" t="s">
        <v>13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x14ac:dyDescent="0.25">
      <c r="A43" t="s">
        <v>12</v>
      </c>
      <c r="B43">
        <v>2014</v>
      </c>
      <c r="C43" t="s">
        <v>13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x14ac:dyDescent="0.25">
      <c r="A44" t="s">
        <v>9</v>
      </c>
      <c r="B44">
        <v>2014</v>
      </c>
      <c r="C44" t="s">
        <v>15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26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x14ac:dyDescent="0.25">
      <c r="A45" t="s">
        <v>11</v>
      </c>
      <c r="B45">
        <v>2014</v>
      </c>
      <c r="C45" t="s">
        <v>15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x14ac:dyDescent="0.25">
      <c r="A46" t="s">
        <v>12</v>
      </c>
      <c r="B46">
        <v>2014</v>
      </c>
      <c r="C46" t="s">
        <v>25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x14ac:dyDescent="0.25">
      <c r="A47" t="s">
        <v>9</v>
      </c>
      <c r="B47">
        <v>2014</v>
      </c>
      <c r="C47" t="s">
        <v>16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26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x14ac:dyDescent="0.25">
      <c r="A48" t="s">
        <v>11</v>
      </c>
      <c r="B48">
        <v>2014</v>
      </c>
      <c r="C48" t="s">
        <v>16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x14ac:dyDescent="0.25">
      <c r="A49" t="s">
        <v>12</v>
      </c>
      <c r="B49">
        <v>2014</v>
      </c>
      <c r="C49" t="s">
        <v>16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x14ac:dyDescent="0.25">
      <c r="A50" t="s">
        <v>9</v>
      </c>
      <c r="B50">
        <v>2014</v>
      </c>
      <c r="C50" t="s">
        <v>14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26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x14ac:dyDescent="0.25">
      <c r="A51" t="s">
        <v>11</v>
      </c>
      <c r="B51">
        <v>2014</v>
      </c>
      <c r="C51" t="s">
        <v>14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x14ac:dyDescent="0.25">
      <c r="A52" t="s">
        <v>12</v>
      </c>
      <c r="B52">
        <v>2014</v>
      </c>
      <c r="C52" t="s">
        <v>14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x14ac:dyDescent="0.25">
      <c r="A53" t="s">
        <v>9</v>
      </c>
      <c r="B53">
        <v>2014</v>
      </c>
      <c r="C53" t="s">
        <v>17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26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x14ac:dyDescent="0.25">
      <c r="A54" t="s">
        <v>11</v>
      </c>
      <c r="B54">
        <v>2014</v>
      </c>
      <c r="C54" t="s">
        <v>17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x14ac:dyDescent="0.25">
      <c r="A55" t="s">
        <v>12</v>
      </c>
      <c r="B55">
        <v>2014</v>
      </c>
      <c r="C55" t="s">
        <v>17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x14ac:dyDescent="0.25">
      <c r="A56" t="s">
        <v>9</v>
      </c>
      <c r="B56">
        <v>2014</v>
      </c>
      <c r="C56" t="s">
        <v>18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26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x14ac:dyDescent="0.25">
      <c r="A57" t="s">
        <v>11</v>
      </c>
      <c r="B57">
        <v>2014</v>
      </c>
      <c r="C57" t="s">
        <v>18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x14ac:dyDescent="0.25">
      <c r="A58" t="s">
        <v>12</v>
      </c>
      <c r="B58">
        <v>2014</v>
      </c>
      <c r="C58" t="s">
        <v>18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x14ac:dyDescent="0.25">
      <c r="A59" t="s">
        <v>9</v>
      </c>
      <c r="B59">
        <v>2014</v>
      </c>
      <c r="C59" t="s">
        <v>19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26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x14ac:dyDescent="0.25">
      <c r="A60" t="s">
        <v>11</v>
      </c>
      <c r="B60">
        <v>2014</v>
      </c>
      <c r="C60" t="s">
        <v>19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x14ac:dyDescent="0.25">
      <c r="A61" t="s">
        <v>12</v>
      </c>
      <c r="B61">
        <v>2014</v>
      </c>
      <c r="C61" t="s">
        <v>19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x14ac:dyDescent="0.25">
      <c r="A62" t="s">
        <v>9</v>
      </c>
      <c r="B62">
        <v>2014</v>
      </c>
      <c r="C62" t="s">
        <v>20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26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x14ac:dyDescent="0.25">
      <c r="A63" t="s">
        <v>11</v>
      </c>
      <c r="B63">
        <v>2014</v>
      </c>
      <c r="C63" t="s">
        <v>20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x14ac:dyDescent="0.25">
      <c r="A64" t="s">
        <v>12</v>
      </c>
      <c r="B64">
        <v>2014</v>
      </c>
      <c r="C64" t="s">
        <v>20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x14ac:dyDescent="0.25">
      <c r="A65" t="s">
        <v>9</v>
      </c>
      <c r="B65">
        <v>2014</v>
      </c>
      <c r="C65" t="s">
        <v>21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26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x14ac:dyDescent="0.25">
      <c r="A66" t="s">
        <v>11</v>
      </c>
      <c r="B66">
        <v>2014</v>
      </c>
      <c r="C66" t="s">
        <v>21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x14ac:dyDescent="0.25">
      <c r="A67" t="s">
        <v>12</v>
      </c>
      <c r="B67">
        <v>2014</v>
      </c>
      <c r="C67" t="s">
        <v>21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x14ac:dyDescent="0.25">
      <c r="A68" t="s">
        <v>9</v>
      </c>
      <c r="B68">
        <v>2014</v>
      </c>
      <c r="C68" t="s">
        <v>23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26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x14ac:dyDescent="0.25">
      <c r="A69" t="s">
        <v>11</v>
      </c>
      <c r="B69">
        <v>2014</v>
      </c>
      <c r="C69" t="s">
        <v>23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x14ac:dyDescent="0.25">
      <c r="A70" t="s">
        <v>12</v>
      </c>
      <c r="B70">
        <v>2014</v>
      </c>
      <c r="C70" t="s">
        <v>23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x14ac:dyDescent="0.25">
      <c r="A71" t="s">
        <v>9</v>
      </c>
      <c r="B71">
        <v>2014</v>
      </c>
      <c r="C71" t="s">
        <v>24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26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x14ac:dyDescent="0.25">
      <c r="A72" t="s">
        <v>11</v>
      </c>
      <c r="B72">
        <v>2014</v>
      </c>
      <c r="C72" t="s">
        <v>24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x14ac:dyDescent="0.25">
      <c r="A73" t="s">
        <v>12</v>
      </c>
      <c r="B73">
        <v>2014</v>
      </c>
      <c r="C73" t="s">
        <v>24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x14ac:dyDescent="0.25">
      <c r="A74" t="s">
        <v>9</v>
      </c>
      <c r="B74">
        <v>2015</v>
      </c>
      <c r="C74" t="s">
        <v>10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26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x14ac:dyDescent="0.25">
      <c r="A75" t="s">
        <v>11</v>
      </c>
      <c r="B75">
        <v>2015</v>
      </c>
      <c r="C75" t="s">
        <v>10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x14ac:dyDescent="0.25">
      <c r="A76" t="s">
        <v>12</v>
      </c>
      <c r="B76">
        <v>2015</v>
      </c>
      <c r="C76" t="s">
        <v>10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x14ac:dyDescent="0.25">
      <c r="A77" t="s">
        <v>9</v>
      </c>
      <c r="B77">
        <v>2015</v>
      </c>
      <c r="C77" t="s">
        <v>13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26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x14ac:dyDescent="0.25">
      <c r="A78" t="s">
        <v>11</v>
      </c>
      <c r="B78">
        <v>2015</v>
      </c>
      <c r="C78" t="s">
        <v>13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x14ac:dyDescent="0.25">
      <c r="A79" t="s">
        <v>12</v>
      </c>
      <c r="B79">
        <v>2015</v>
      </c>
      <c r="C79" t="s">
        <v>13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x14ac:dyDescent="0.25">
      <c r="A80" t="s">
        <v>9</v>
      </c>
      <c r="B80">
        <v>2015</v>
      </c>
      <c r="C80" t="s">
        <v>15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26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x14ac:dyDescent="0.25">
      <c r="A81" t="s">
        <v>11</v>
      </c>
      <c r="B81">
        <v>2015</v>
      </c>
      <c r="C81" t="s">
        <v>15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x14ac:dyDescent="0.25">
      <c r="A82" t="s">
        <v>12</v>
      </c>
      <c r="B82">
        <v>2015</v>
      </c>
      <c r="C82" t="s">
        <v>15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x14ac:dyDescent="0.25">
      <c r="A83" t="s">
        <v>9</v>
      </c>
      <c r="B83">
        <v>2015</v>
      </c>
      <c r="C83" t="s">
        <v>16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26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x14ac:dyDescent="0.25">
      <c r="A84" t="s">
        <v>11</v>
      </c>
      <c r="B84">
        <v>2015</v>
      </c>
      <c r="C84" t="s">
        <v>16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x14ac:dyDescent="0.25">
      <c r="A85" t="s">
        <v>12</v>
      </c>
      <c r="B85">
        <v>2015</v>
      </c>
      <c r="C85" t="s">
        <v>16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x14ac:dyDescent="0.25">
      <c r="A86" t="s">
        <v>9</v>
      </c>
      <c r="B86">
        <v>2015</v>
      </c>
      <c r="C86" t="s">
        <v>14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26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x14ac:dyDescent="0.25">
      <c r="A87" t="s">
        <v>11</v>
      </c>
      <c r="B87">
        <v>2015</v>
      </c>
      <c r="C87" t="s">
        <v>14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x14ac:dyDescent="0.25">
      <c r="A88" t="s">
        <v>12</v>
      </c>
      <c r="B88">
        <v>2015</v>
      </c>
      <c r="C88" t="s">
        <v>14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x14ac:dyDescent="0.25">
      <c r="A89" t="s">
        <v>9</v>
      </c>
      <c r="B89">
        <v>2015</v>
      </c>
      <c r="C89" t="s">
        <v>17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26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x14ac:dyDescent="0.25">
      <c r="A90" t="s">
        <v>11</v>
      </c>
      <c r="B90">
        <v>2015</v>
      </c>
      <c r="C90" t="s">
        <v>17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x14ac:dyDescent="0.25">
      <c r="A91" t="s">
        <v>12</v>
      </c>
      <c r="B91">
        <v>2015</v>
      </c>
      <c r="C91" t="s">
        <v>17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x14ac:dyDescent="0.25">
      <c r="A92" t="s">
        <v>9</v>
      </c>
      <c r="B92">
        <v>2015</v>
      </c>
      <c r="C92" t="s">
        <v>18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26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x14ac:dyDescent="0.25">
      <c r="A93" t="s">
        <v>11</v>
      </c>
      <c r="B93">
        <v>2015</v>
      </c>
      <c r="C93" t="s">
        <v>18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x14ac:dyDescent="0.25">
      <c r="A94" t="s">
        <v>12</v>
      </c>
      <c r="B94">
        <v>2015</v>
      </c>
      <c r="C94" t="s">
        <v>18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x14ac:dyDescent="0.25">
      <c r="A95" t="s">
        <v>9</v>
      </c>
      <c r="B95">
        <v>2015</v>
      </c>
      <c r="C95" t="s">
        <v>19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26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x14ac:dyDescent="0.25">
      <c r="A96" t="s">
        <v>11</v>
      </c>
      <c r="B96">
        <v>2015</v>
      </c>
      <c r="C96" t="s">
        <v>19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x14ac:dyDescent="0.25">
      <c r="A97" t="s">
        <v>12</v>
      </c>
      <c r="B97">
        <v>2015</v>
      </c>
      <c r="C97" t="s">
        <v>19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x14ac:dyDescent="0.25">
      <c r="A98" t="s">
        <v>9</v>
      </c>
      <c r="B98">
        <v>2015</v>
      </c>
      <c r="C98" t="s">
        <v>20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26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x14ac:dyDescent="0.25">
      <c r="A99" t="s">
        <v>11</v>
      </c>
      <c r="B99">
        <v>2015</v>
      </c>
      <c r="C99" t="s">
        <v>20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x14ac:dyDescent="0.25">
      <c r="A100" t="s">
        <v>12</v>
      </c>
      <c r="B100">
        <v>2015</v>
      </c>
      <c r="C100" t="s">
        <v>20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x14ac:dyDescent="0.25">
      <c r="A101" t="s">
        <v>9</v>
      </c>
      <c r="B101">
        <v>2015</v>
      </c>
      <c r="C101" t="s">
        <v>21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26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x14ac:dyDescent="0.25">
      <c r="A102" t="s">
        <v>11</v>
      </c>
      <c r="B102">
        <v>2015</v>
      </c>
      <c r="C102" t="s">
        <v>21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x14ac:dyDescent="0.25">
      <c r="A103" t="s">
        <v>12</v>
      </c>
      <c r="B103">
        <v>2015</v>
      </c>
      <c r="C103" t="s">
        <v>21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x14ac:dyDescent="0.25">
      <c r="A104" t="s">
        <v>9</v>
      </c>
      <c r="B104">
        <v>2015</v>
      </c>
      <c r="C104" t="s">
        <v>23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26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x14ac:dyDescent="0.25">
      <c r="A105" t="s">
        <v>11</v>
      </c>
      <c r="B105">
        <v>2015</v>
      </c>
      <c r="C105" t="s">
        <v>23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x14ac:dyDescent="0.25">
      <c r="A106" t="s">
        <v>12</v>
      </c>
      <c r="B106">
        <v>2015</v>
      </c>
      <c r="C106" t="s">
        <v>23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x14ac:dyDescent="0.25">
      <c r="A107" t="s">
        <v>9</v>
      </c>
      <c r="B107">
        <v>2015</v>
      </c>
      <c r="C107" t="s">
        <v>24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26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x14ac:dyDescent="0.25">
      <c r="A108" t="s">
        <v>11</v>
      </c>
      <c r="B108">
        <v>2015</v>
      </c>
      <c r="C108" t="s">
        <v>24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x14ac:dyDescent="0.25">
      <c r="A109" t="s">
        <v>12</v>
      </c>
      <c r="B109">
        <v>2015</v>
      </c>
      <c r="C109" t="s">
        <v>24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x14ac:dyDescent="0.25">
      <c r="A110" t="s">
        <v>9</v>
      </c>
      <c r="B110">
        <v>2016</v>
      </c>
      <c r="C110" t="s">
        <v>10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26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x14ac:dyDescent="0.25">
      <c r="A111" t="s">
        <v>11</v>
      </c>
      <c r="B111">
        <v>2016</v>
      </c>
      <c r="C111" t="s">
        <v>10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x14ac:dyDescent="0.25">
      <c r="A112" t="s">
        <v>12</v>
      </c>
      <c r="B112">
        <v>2016</v>
      </c>
      <c r="C112" t="s">
        <v>10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x14ac:dyDescent="0.25">
      <c r="A113" t="s">
        <v>9</v>
      </c>
      <c r="B113">
        <v>2016</v>
      </c>
      <c r="C113" t="s">
        <v>13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26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x14ac:dyDescent="0.25">
      <c r="A114" t="s">
        <v>11</v>
      </c>
      <c r="B114">
        <v>2016</v>
      </c>
      <c r="C114" t="s">
        <v>13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x14ac:dyDescent="0.25">
      <c r="A115" t="s">
        <v>12</v>
      </c>
      <c r="B115">
        <v>2016</v>
      </c>
      <c r="C115" t="s">
        <v>13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x14ac:dyDescent="0.25">
      <c r="A116" t="s">
        <v>9</v>
      </c>
      <c r="B116">
        <v>2016</v>
      </c>
      <c r="C116" t="s">
        <v>15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26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x14ac:dyDescent="0.25">
      <c r="A117" t="s">
        <v>11</v>
      </c>
      <c r="B117">
        <v>2016</v>
      </c>
      <c r="C117" t="s">
        <v>15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x14ac:dyDescent="0.25">
      <c r="A118" t="s">
        <v>12</v>
      </c>
      <c r="B118">
        <v>2016</v>
      </c>
      <c r="C118" t="s">
        <v>15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x14ac:dyDescent="0.25">
      <c r="A119" t="s">
        <v>9</v>
      </c>
      <c r="B119">
        <v>2016</v>
      </c>
      <c r="C119" t="s">
        <v>16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26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x14ac:dyDescent="0.25">
      <c r="A120" t="s">
        <v>11</v>
      </c>
      <c r="B120">
        <v>2016</v>
      </c>
      <c r="C120" t="s">
        <v>16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x14ac:dyDescent="0.25">
      <c r="A121" t="s">
        <v>12</v>
      </c>
      <c r="B121">
        <v>2016</v>
      </c>
      <c r="C121" t="s">
        <v>16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x14ac:dyDescent="0.25">
      <c r="A122" t="s">
        <v>9</v>
      </c>
      <c r="B122">
        <v>2016</v>
      </c>
      <c r="C122" t="s">
        <v>14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26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x14ac:dyDescent="0.25">
      <c r="A123" t="s">
        <v>11</v>
      </c>
      <c r="B123">
        <v>2016</v>
      </c>
      <c r="C123" t="s">
        <v>14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x14ac:dyDescent="0.25">
      <c r="A124" t="s">
        <v>12</v>
      </c>
      <c r="B124">
        <v>2016</v>
      </c>
      <c r="C124" t="s">
        <v>14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x14ac:dyDescent="0.25">
      <c r="A125" t="s">
        <v>9</v>
      </c>
      <c r="B125">
        <v>2016</v>
      </c>
      <c r="C125" t="s">
        <v>17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26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x14ac:dyDescent="0.25">
      <c r="A126" t="s">
        <v>11</v>
      </c>
      <c r="B126">
        <v>2016</v>
      </c>
      <c r="C126" t="s">
        <v>17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x14ac:dyDescent="0.25">
      <c r="A127" t="s">
        <v>12</v>
      </c>
      <c r="B127">
        <v>2016</v>
      </c>
      <c r="C127" t="s">
        <v>17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x14ac:dyDescent="0.25">
      <c r="A128" t="s">
        <v>9</v>
      </c>
      <c r="B128">
        <v>2016</v>
      </c>
      <c r="C128" t="s">
        <v>18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26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x14ac:dyDescent="0.25">
      <c r="A129" t="s">
        <v>11</v>
      </c>
      <c r="B129">
        <v>2016</v>
      </c>
      <c r="C129" t="s">
        <v>18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x14ac:dyDescent="0.25">
      <c r="A130" t="s">
        <v>12</v>
      </c>
      <c r="B130">
        <v>2016</v>
      </c>
      <c r="C130" t="s">
        <v>18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x14ac:dyDescent="0.25">
      <c r="A131" t="s">
        <v>9</v>
      </c>
      <c r="B131">
        <v>2016</v>
      </c>
      <c r="C131" t="s">
        <v>19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26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x14ac:dyDescent="0.25">
      <c r="A132" t="s">
        <v>11</v>
      </c>
      <c r="B132">
        <v>2016</v>
      </c>
      <c r="C132" t="s">
        <v>19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x14ac:dyDescent="0.25">
      <c r="A133" t="s">
        <v>12</v>
      </c>
      <c r="B133">
        <v>2016</v>
      </c>
      <c r="C133" t="s">
        <v>19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x14ac:dyDescent="0.25">
      <c r="A134" t="s">
        <v>9</v>
      </c>
      <c r="B134">
        <v>2016</v>
      </c>
      <c r="C134" t="s">
        <v>20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26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x14ac:dyDescent="0.25">
      <c r="A135" t="s">
        <v>11</v>
      </c>
      <c r="B135">
        <v>2016</v>
      </c>
      <c r="C135" t="s">
        <v>20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x14ac:dyDescent="0.25">
      <c r="A136" t="s">
        <v>12</v>
      </c>
      <c r="B136">
        <v>2016</v>
      </c>
      <c r="C136" t="s">
        <v>20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x14ac:dyDescent="0.25">
      <c r="A137" t="s">
        <v>9</v>
      </c>
      <c r="B137">
        <v>2016</v>
      </c>
      <c r="C137" t="s">
        <v>21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26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x14ac:dyDescent="0.25">
      <c r="A138" t="s">
        <v>11</v>
      </c>
      <c r="B138">
        <v>2016</v>
      </c>
      <c r="C138" t="s">
        <v>21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x14ac:dyDescent="0.25">
      <c r="A139" t="s">
        <v>12</v>
      </c>
      <c r="B139">
        <v>2016</v>
      </c>
      <c r="C139" t="s">
        <v>21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x14ac:dyDescent="0.25">
      <c r="A140" t="s">
        <v>9</v>
      </c>
      <c r="B140">
        <v>2016</v>
      </c>
      <c r="C140" t="s">
        <v>23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26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x14ac:dyDescent="0.25">
      <c r="A141" t="s">
        <v>11</v>
      </c>
      <c r="B141">
        <v>2016</v>
      </c>
      <c r="C141" t="s">
        <v>23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x14ac:dyDescent="0.25">
      <c r="A142" t="s">
        <v>12</v>
      </c>
      <c r="B142">
        <v>2016</v>
      </c>
      <c r="C142" t="s">
        <v>23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x14ac:dyDescent="0.25">
      <c r="A143" t="s">
        <v>9</v>
      </c>
      <c r="B143">
        <v>2016</v>
      </c>
      <c r="C143" t="s">
        <v>24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26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x14ac:dyDescent="0.25">
      <c r="A144" t="s">
        <v>11</v>
      </c>
      <c r="B144">
        <v>2016</v>
      </c>
      <c r="C144" t="s">
        <v>24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x14ac:dyDescent="0.25">
      <c r="A145" t="s">
        <v>12</v>
      </c>
      <c r="B145">
        <v>2016</v>
      </c>
      <c r="C145" t="s">
        <v>24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x14ac:dyDescent="0.25">
      <c r="A146" t="s">
        <v>9</v>
      </c>
      <c r="B146">
        <v>2017</v>
      </c>
      <c r="C146" t="s">
        <v>10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26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x14ac:dyDescent="0.25">
      <c r="A147" t="s">
        <v>11</v>
      </c>
      <c r="B147">
        <v>2017</v>
      </c>
      <c r="C147" t="s">
        <v>10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x14ac:dyDescent="0.25">
      <c r="A148" t="s">
        <v>12</v>
      </c>
      <c r="B148">
        <v>2017</v>
      </c>
      <c r="C148" t="s">
        <v>10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x14ac:dyDescent="0.25">
      <c r="A149" t="s">
        <v>9</v>
      </c>
      <c r="B149">
        <v>2017</v>
      </c>
      <c r="C149" t="s">
        <v>13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26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x14ac:dyDescent="0.25">
      <c r="A150" t="s">
        <v>11</v>
      </c>
      <c r="B150">
        <v>2017</v>
      </c>
      <c r="C150" t="s">
        <v>13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x14ac:dyDescent="0.25">
      <c r="A151" t="s">
        <v>12</v>
      </c>
      <c r="B151">
        <v>2017</v>
      </c>
      <c r="C151" t="s">
        <v>13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x14ac:dyDescent="0.25">
      <c r="A152" t="s">
        <v>9</v>
      </c>
      <c r="B152">
        <v>2017</v>
      </c>
      <c r="C152" t="s">
        <v>15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26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x14ac:dyDescent="0.25">
      <c r="A153" t="s">
        <v>11</v>
      </c>
      <c r="B153">
        <v>2017</v>
      </c>
      <c r="C153" t="s">
        <v>15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x14ac:dyDescent="0.25">
      <c r="A154" t="s">
        <v>12</v>
      </c>
      <c r="B154">
        <v>2017</v>
      </c>
      <c r="C154" t="s">
        <v>15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x14ac:dyDescent="0.25">
      <c r="A155" t="s">
        <v>9</v>
      </c>
      <c r="B155">
        <v>2017</v>
      </c>
      <c r="C155" t="s">
        <v>16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26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x14ac:dyDescent="0.25">
      <c r="A156" t="s">
        <v>11</v>
      </c>
      <c r="B156">
        <v>2017</v>
      </c>
      <c r="C156" t="s">
        <v>16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x14ac:dyDescent="0.25">
      <c r="A157" t="s">
        <v>12</v>
      </c>
      <c r="B157">
        <v>2017</v>
      </c>
      <c r="C157" t="s">
        <v>16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x14ac:dyDescent="0.25">
      <c r="A158" t="s">
        <v>9</v>
      </c>
      <c r="B158">
        <v>2017</v>
      </c>
      <c r="C158" t="s">
        <v>14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26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x14ac:dyDescent="0.25">
      <c r="A159" t="s">
        <v>11</v>
      </c>
      <c r="B159">
        <v>2017</v>
      </c>
      <c r="C159" t="s">
        <v>14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x14ac:dyDescent="0.25">
      <c r="A160" t="s">
        <v>12</v>
      </c>
      <c r="B160">
        <v>2017</v>
      </c>
      <c r="C160" t="s">
        <v>14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x14ac:dyDescent="0.25">
      <c r="A161" t="s">
        <v>9</v>
      </c>
      <c r="B161">
        <v>2017</v>
      </c>
      <c r="C161" t="s">
        <v>17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26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x14ac:dyDescent="0.25">
      <c r="A162" t="s">
        <v>11</v>
      </c>
      <c r="B162">
        <v>2017</v>
      </c>
      <c r="C162" t="s">
        <v>17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x14ac:dyDescent="0.25">
      <c r="A163" t="s">
        <v>12</v>
      </c>
      <c r="B163">
        <v>2017</v>
      </c>
      <c r="C163" t="s">
        <v>17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x14ac:dyDescent="0.25">
      <c r="A164" t="s">
        <v>9</v>
      </c>
      <c r="B164">
        <v>2017</v>
      </c>
      <c r="C164" t="s">
        <v>18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26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x14ac:dyDescent="0.25">
      <c r="A165" t="s">
        <v>11</v>
      </c>
      <c r="B165">
        <v>2017</v>
      </c>
      <c r="C165" t="s">
        <v>18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x14ac:dyDescent="0.25">
      <c r="A166" t="s">
        <v>12</v>
      </c>
      <c r="B166">
        <v>2017</v>
      </c>
      <c r="C166" t="s">
        <v>18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x14ac:dyDescent="0.25">
      <c r="A167" t="s">
        <v>9</v>
      </c>
      <c r="B167">
        <v>2017</v>
      </c>
      <c r="C167" t="s">
        <v>19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26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x14ac:dyDescent="0.25">
      <c r="A168" t="s">
        <v>11</v>
      </c>
      <c r="B168">
        <v>2017</v>
      </c>
      <c r="C168" t="s">
        <v>19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x14ac:dyDescent="0.25">
      <c r="A169" t="s">
        <v>12</v>
      </c>
      <c r="B169">
        <v>2017</v>
      </c>
      <c r="C169" t="s">
        <v>19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x14ac:dyDescent="0.25">
      <c r="A170" t="s">
        <v>9</v>
      </c>
      <c r="B170">
        <v>2017</v>
      </c>
      <c r="C170" t="s">
        <v>20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26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x14ac:dyDescent="0.25">
      <c r="A171" t="s">
        <v>11</v>
      </c>
      <c r="B171">
        <v>2017</v>
      </c>
      <c r="C171" t="s">
        <v>20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x14ac:dyDescent="0.25">
      <c r="A172" t="s">
        <v>12</v>
      </c>
      <c r="B172">
        <v>2017</v>
      </c>
      <c r="C172" t="s">
        <v>20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x14ac:dyDescent="0.25">
      <c r="A173" t="s">
        <v>9</v>
      </c>
      <c r="B173">
        <v>2017</v>
      </c>
      <c r="C173" t="s">
        <v>21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26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x14ac:dyDescent="0.25">
      <c r="A174" t="s">
        <v>11</v>
      </c>
      <c r="B174">
        <v>2017</v>
      </c>
      <c r="C174" t="s">
        <v>21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x14ac:dyDescent="0.25">
      <c r="A175" t="s">
        <v>12</v>
      </c>
      <c r="B175">
        <v>2017</v>
      </c>
      <c r="C175" t="s">
        <v>21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x14ac:dyDescent="0.25">
      <c r="A176" t="s">
        <v>9</v>
      </c>
      <c r="B176">
        <v>2017</v>
      </c>
      <c r="C176" t="s">
        <v>23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26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x14ac:dyDescent="0.25">
      <c r="A177" t="s">
        <v>11</v>
      </c>
      <c r="B177">
        <v>2017</v>
      </c>
      <c r="C177" t="s">
        <v>23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x14ac:dyDescent="0.25">
      <c r="A178" t="s">
        <v>12</v>
      </c>
      <c r="B178">
        <v>2017</v>
      </c>
      <c r="C178" t="s">
        <v>23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x14ac:dyDescent="0.25">
      <c r="A179" t="s">
        <v>9</v>
      </c>
      <c r="B179">
        <v>2017</v>
      </c>
      <c r="C179" t="s">
        <v>24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26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x14ac:dyDescent="0.25">
      <c r="A180" t="s">
        <v>11</v>
      </c>
      <c r="B180">
        <v>2017</v>
      </c>
      <c r="C180" t="s">
        <v>24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x14ac:dyDescent="0.25">
      <c r="A181" t="s">
        <v>12</v>
      </c>
      <c r="B181">
        <v>2017</v>
      </c>
      <c r="C181" t="s">
        <v>24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x14ac:dyDescent="0.25">
      <c r="A182" t="s">
        <v>9</v>
      </c>
      <c r="B182">
        <v>2018</v>
      </c>
      <c r="C182" t="s">
        <v>10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26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x14ac:dyDescent="0.25">
      <c r="A183" t="s">
        <v>11</v>
      </c>
      <c r="B183">
        <v>2018</v>
      </c>
      <c r="C183" t="s">
        <v>10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x14ac:dyDescent="0.25">
      <c r="A184" t="s">
        <v>12</v>
      </c>
      <c r="B184">
        <v>2018</v>
      </c>
      <c r="C184" t="s">
        <v>10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x14ac:dyDescent="0.25">
      <c r="A185" t="s">
        <v>9</v>
      </c>
      <c r="B185">
        <v>2018</v>
      </c>
      <c r="C185" t="s">
        <v>13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26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x14ac:dyDescent="0.25">
      <c r="A186" t="s">
        <v>11</v>
      </c>
      <c r="B186">
        <v>2018</v>
      </c>
      <c r="C186" t="s">
        <v>13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x14ac:dyDescent="0.25">
      <c r="A187" t="s">
        <v>12</v>
      </c>
      <c r="B187">
        <v>2018</v>
      </c>
      <c r="C187" t="s">
        <v>13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x14ac:dyDescent="0.25">
      <c r="A188" t="s">
        <v>9</v>
      </c>
      <c r="B188">
        <v>2018</v>
      </c>
      <c r="C188" t="s">
        <v>15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26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x14ac:dyDescent="0.25">
      <c r="A189" t="s">
        <v>11</v>
      </c>
      <c r="B189">
        <v>2018</v>
      </c>
      <c r="C189" t="s">
        <v>15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x14ac:dyDescent="0.25">
      <c r="A190" t="s">
        <v>12</v>
      </c>
      <c r="B190">
        <v>2018</v>
      </c>
      <c r="C190" t="s">
        <v>15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x14ac:dyDescent="0.25">
      <c r="A191" t="s">
        <v>9</v>
      </c>
      <c r="B191">
        <v>2018</v>
      </c>
      <c r="C191" t="s">
        <v>16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26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x14ac:dyDescent="0.25">
      <c r="A192" t="s">
        <v>11</v>
      </c>
      <c r="B192">
        <v>2018</v>
      </c>
      <c r="C192" t="s">
        <v>16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x14ac:dyDescent="0.25">
      <c r="A193" t="s">
        <v>12</v>
      </c>
      <c r="B193">
        <v>2018</v>
      </c>
      <c r="C193" t="s">
        <v>16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x14ac:dyDescent="0.25">
      <c r="A194" t="s">
        <v>9</v>
      </c>
      <c r="B194">
        <v>2018</v>
      </c>
      <c r="C194" t="s">
        <v>14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26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x14ac:dyDescent="0.25">
      <c r="A195" t="s">
        <v>11</v>
      </c>
      <c r="B195">
        <v>2018</v>
      </c>
      <c r="C195" t="s">
        <v>14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x14ac:dyDescent="0.25">
      <c r="A196" t="s">
        <v>12</v>
      </c>
      <c r="B196">
        <v>2018</v>
      </c>
      <c r="C196" t="s">
        <v>14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x14ac:dyDescent="0.25">
      <c r="A197" t="s">
        <v>9</v>
      </c>
      <c r="B197">
        <v>2018</v>
      </c>
      <c r="C197" t="s">
        <v>17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26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x14ac:dyDescent="0.25">
      <c r="A198" t="s">
        <v>11</v>
      </c>
      <c r="B198">
        <v>2018</v>
      </c>
      <c r="C198" t="s">
        <v>17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x14ac:dyDescent="0.25">
      <c r="A199" t="s">
        <v>12</v>
      </c>
      <c r="B199">
        <v>2018</v>
      </c>
      <c r="C199" t="s">
        <v>17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x14ac:dyDescent="0.25">
      <c r="A200" t="s">
        <v>9</v>
      </c>
      <c r="B200">
        <v>2018</v>
      </c>
      <c r="C200" t="s">
        <v>18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26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x14ac:dyDescent="0.25">
      <c r="A201" t="s">
        <v>11</v>
      </c>
      <c r="B201">
        <v>2018</v>
      </c>
      <c r="C201" t="s">
        <v>18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x14ac:dyDescent="0.25">
      <c r="A202" t="s">
        <v>12</v>
      </c>
      <c r="B202">
        <v>2018</v>
      </c>
      <c r="C202" t="s">
        <v>18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x14ac:dyDescent="0.25">
      <c r="A203" t="s">
        <v>9</v>
      </c>
      <c r="B203">
        <v>2018</v>
      </c>
      <c r="C203" t="s">
        <v>19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26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x14ac:dyDescent="0.25">
      <c r="A204" t="s">
        <v>11</v>
      </c>
      <c r="B204">
        <v>2018</v>
      </c>
      <c r="C204" t="s">
        <v>19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x14ac:dyDescent="0.25">
      <c r="A205" t="s">
        <v>12</v>
      </c>
      <c r="B205">
        <v>2018</v>
      </c>
      <c r="C205" t="s">
        <v>19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x14ac:dyDescent="0.25">
      <c r="A206" t="s">
        <v>9</v>
      </c>
      <c r="B206">
        <v>2018</v>
      </c>
      <c r="C206" t="s">
        <v>20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26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x14ac:dyDescent="0.25">
      <c r="A207" t="s">
        <v>11</v>
      </c>
      <c r="B207">
        <v>2018</v>
      </c>
      <c r="C207" t="s">
        <v>20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x14ac:dyDescent="0.25">
      <c r="A208" t="s">
        <v>12</v>
      </c>
      <c r="B208">
        <v>2018</v>
      </c>
      <c r="C208" t="s">
        <v>20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x14ac:dyDescent="0.25">
      <c r="A209" t="s">
        <v>9</v>
      </c>
      <c r="B209">
        <v>2018</v>
      </c>
      <c r="C209" t="s">
        <v>21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26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x14ac:dyDescent="0.25">
      <c r="A210" t="s">
        <v>11</v>
      </c>
      <c r="B210">
        <v>2018</v>
      </c>
      <c r="C210" t="s">
        <v>21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x14ac:dyDescent="0.25">
      <c r="A211" t="s">
        <v>12</v>
      </c>
      <c r="B211">
        <v>2018</v>
      </c>
      <c r="C211" t="s">
        <v>21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x14ac:dyDescent="0.25">
      <c r="A212" t="s">
        <v>9</v>
      </c>
      <c r="B212">
        <v>2018</v>
      </c>
      <c r="C212" t="s">
        <v>23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26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x14ac:dyDescent="0.25">
      <c r="A213" t="s">
        <v>11</v>
      </c>
      <c r="B213">
        <v>2018</v>
      </c>
      <c r="C213" t="s">
        <v>23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x14ac:dyDescent="0.25">
      <c r="A214" t="s">
        <v>12</v>
      </c>
      <c r="B214">
        <v>2018</v>
      </c>
      <c r="C214" t="s">
        <v>23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x14ac:dyDescent="0.25">
      <c r="A215" t="s">
        <v>9</v>
      </c>
      <c r="B215">
        <v>2018</v>
      </c>
      <c r="C215" t="s">
        <v>24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26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x14ac:dyDescent="0.25">
      <c r="A216" t="s">
        <v>11</v>
      </c>
      <c r="B216">
        <v>2018</v>
      </c>
      <c r="C216" t="s">
        <v>24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x14ac:dyDescent="0.25">
      <c r="A217" t="s">
        <v>12</v>
      </c>
      <c r="B217">
        <v>2018</v>
      </c>
      <c r="C217" t="s">
        <v>24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x14ac:dyDescent="0.25">
      <c r="A218" t="s">
        <v>9</v>
      </c>
      <c r="B218">
        <v>2019</v>
      </c>
      <c r="C218" t="s">
        <v>10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26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x14ac:dyDescent="0.25">
      <c r="A219" t="s">
        <v>11</v>
      </c>
      <c r="B219">
        <v>2019</v>
      </c>
      <c r="C219" t="s">
        <v>10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x14ac:dyDescent="0.25">
      <c r="A220" t="s">
        <v>12</v>
      </c>
      <c r="B220">
        <v>2019</v>
      </c>
      <c r="C220" t="s">
        <v>10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x14ac:dyDescent="0.25">
      <c r="A221" t="s">
        <v>9</v>
      </c>
      <c r="B221">
        <v>2019</v>
      </c>
      <c r="C221" t="s">
        <v>13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26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x14ac:dyDescent="0.25">
      <c r="A222" t="s">
        <v>11</v>
      </c>
      <c r="B222">
        <v>2019</v>
      </c>
      <c r="C222" t="s">
        <v>13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x14ac:dyDescent="0.25">
      <c r="A223" t="s">
        <v>12</v>
      </c>
      <c r="B223">
        <v>2019</v>
      </c>
      <c r="C223" t="s">
        <v>13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x14ac:dyDescent="0.25">
      <c r="A224" t="s">
        <v>9</v>
      </c>
      <c r="B224">
        <v>2019</v>
      </c>
      <c r="C224" t="s">
        <v>15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26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x14ac:dyDescent="0.25">
      <c r="A225" t="s">
        <v>11</v>
      </c>
      <c r="B225">
        <v>2019</v>
      </c>
      <c r="C225" t="s">
        <v>15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x14ac:dyDescent="0.25">
      <c r="A226" t="s">
        <v>12</v>
      </c>
      <c r="B226">
        <v>2019</v>
      </c>
      <c r="C226" t="s">
        <v>15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x14ac:dyDescent="0.25">
      <c r="A227" t="s">
        <v>9</v>
      </c>
      <c r="B227">
        <v>2019</v>
      </c>
      <c r="C227" t="s">
        <v>14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26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x14ac:dyDescent="0.25">
      <c r="A228" t="s">
        <v>11</v>
      </c>
      <c r="B228">
        <v>2019</v>
      </c>
      <c r="C228" t="s">
        <v>14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x14ac:dyDescent="0.25">
      <c r="A229" t="s">
        <v>12</v>
      </c>
      <c r="B229">
        <v>2019</v>
      </c>
      <c r="C229" t="s">
        <v>14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x14ac:dyDescent="0.25">
      <c r="A230" t="s">
        <v>9</v>
      </c>
      <c r="B230">
        <v>2019</v>
      </c>
      <c r="C230" t="s">
        <v>17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26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x14ac:dyDescent="0.25">
      <c r="A231" t="s">
        <v>11</v>
      </c>
      <c r="B231">
        <v>2019</v>
      </c>
      <c r="C231" t="s">
        <v>17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x14ac:dyDescent="0.25">
      <c r="A232" t="s">
        <v>12</v>
      </c>
      <c r="B232">
        <v>2019</v>
      </c>
      <c r="C232" t="s">
        <v>17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x14ac:dyDescent="0.25">
      <c r="A233" t="s">
        <v>9</v>
      </c>
      <c r="B233">
        <v>2019</v>
      </c>
      <c r="C233" t="s">
        <v>18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26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x14ac:dyDescent="0.25">
      <c r="A234" t="s">
        <v>11</v>
      </c>
      <c r="B234">
        <v>2019</v>
      </c>
      <c r="C234" t="s">
        <v>18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x14ac:dyDescent="0.25">
      <c r="A235" t="s">
        <v>12</v>
      </c>
      <c r="B235">
        <v>2019</v>
      </c>
      <c r="C235" t="s">
        <v>18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x14ac:dyDescent="0.25">
      <c r="A236" t="s">
        <v>9</v>
      </c>
      <c r="B236">
        <v>2019</v>
      </c>
      <c r="C236" t="s">
        <v>19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26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x14ac:dyDescent="0.25">
      <c r="A237" t="s">
        <v>11</v>
      </c>
      <c r="B237">
        <v>2019</v>
      </c>
      <c r="C237" t="s">
        <v>19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x14ac:dyDescent="0.25">
      <c r="A238" t="s">
        <v>12</v>
      </c>
      <c r="B238">
        <v>2019</v>
      </c>
      <c r="C238" t="s">
        <v>19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x14ac:dyDescent="0.25">
      <c r="A239" t="s">
        <v>9</v>
      </c>
      <c r="B239">
        <v>2019</v>
      </c>
      <c r="C239" t="s">
        <v>20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26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x14ac:dyDescent="0.25">
      <c r="A240" t="s">
        <v>11</v>
      </c>
      <c r="B240">
        <v>2019</v>
      </c>
      <c r="C240" t="s">
        <v>20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x14ac:dyDescent="0.25">
      <c r="A241" t="s">
        <v>12</v>
      </c>
      <c r="B241">
        <v>2019</v>
      </c>
      <c r="C241" t="s">
        <v>20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x14ac:dyDescent="0.25">
      <c r="A242" t="s">
        <v>9</v>
      </c>
      <c r="B242">
        <v>2019</v>
      </c>
      <c r="C242" t="s">
        <v>21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26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x14ac:dyDescent="0.25">
      <c r="A243" t="s">
        <v>11</v>
      </c>
      <c r="B243">
        <v>2019</v>
      </c>
      <c r="C243" t="s">
        <v>21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x14ac:dyDescent="0.25">
      <c r="A244" t="s">
        <v>12</v>
      </c>
      <c r="B244">
        <v>2019</v>
      </c>
      <c r="C244" t="s">
        <v>21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x14ac:dyDescent="0.25">
      <c r="A245" t="s">
        <v>9</v>
      </c>
      <c r="B245">
        <v>2019</v>
      </c>
      <c r="C245" t="s">
        <v>23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26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x14ac:dyDescent="0.25">
      <c r="A246" t="s">
        <v>11</v>
      </c>
      <c r="B246">
        <v>2019</v>
      </c>
      <c r="C246" t="s">
        <v>23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x14ac:dyDescent="0.25">
      <c r="A247" t="s">
        <v>12</v>
      </c>
      <c r="B247">
        <v>2019</v>
      </c>
      <c r="C247" t="s">
        <v>23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x14ac:dyDescent="0.25">
      <c r="A248" t="s">
        <v>9</v>
      </c>
      <c r="B248">
        <v>2019</v>
      </c>
      <c r="C248" t="s">
        <v>24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26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x14ac:dyDescent="0.25">
      <c r="A249" t="s">
        <v>11</v>
      </c>
      <c r="B249">
        <v>2019</v>
      </c>
      <c r="C249" t="s">
        <v>24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x14ac:dyDescent="0.25">
      <c r="A250" t="s">
        <v>12</v>
      </c>
      <c r="B250">
        <v>2019</v>
      </c>
      <c r="C250" t="s">
        <v>24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x14ac:dyDescent="0.25">
      <c r="A251" t="s">
        <v>9</v>
      </c>
      <c r="B251">
        <v>2020</v>
      </c>
      <c r="C251" t="s">
        <v>10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26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x14ac:dyDescent="0.25">
      <c r="A252" t="s">
        <v>11</v>
      </c>
      <c r="B252">
        <v>2020</v>
      </c>
      <c r="C252" t="s">
        <v>10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x14ac:dyDescent="0.25">
      <c r="A253" t="s">
        <v>12</v>
      </c>
      <c r="B253">
        <v>2020</v>
      </c>
      <c r="C253" t="s">
        <v>10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x14ac:dyDescent="0.25">
      <c r="A254" t="s">
        <v>9</v>
      </c>
      <c r="B254">
        <v>2020</v>
      </c>
      <c r="C254" t="s">
        <v>13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26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x14ac:dyDescent="0.25">
      <c r="A255" t="s">
        <v>11</v>
      </c>
      <c r="B255">
        <v>2020</v>
      </c>
      <c r="C255" t="s">
        <v>13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x14ac:dyDescent="0.25">
      <c r="A256" t="s">
        <v>12</v>
      </c>
      <c r="B256">
        <v>2020</v>
      </c>
      <c r="C256" t="s">
        <v>13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x14ac:dyDescent="0.25">
      <c r="A257" t="s">
        <v>9</v>
      </c>
      <c r="B257">
        <v>2020</v>
      </c>
      <c r="C257" t="s">
        <v>15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26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x14ac:dyDescent="0.25">
      <c r="A258" t="s">
        <v>11</v>
      </c>
      <c r="B258">
        <v>2020</v>
      </c>
      <c r="C258" t="s">
        <v>15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x14ac:dyDescent="0.25">
      <c r="A259" t="s">
        <v>12</v>
      </c>
      <c r="B259">
        <v>2020</v>
      </c>
      <c r="C259" t="s">
        <v>15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x14ac:dyDescent="0.25">
      <c r="A260" t="s">
        <v>9</v>
      </c>
      <c r="B260">
        <v>2020</v>
      </c>
      <c r="C260" t="s">
        <v>16</v>
      </c>
      <c r="D260">
        <v>147.19999999999999</v>
      </c>
      <c r="E260" t="s">
        <v>26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 t="s">
        <v>26</v>
      </c>
      <c r="P260">
        <v>150.1</v>
      </c>
      <c r="Q260" t="s">
        <v>26</v>
      </c>
      <c r="R260" t="s">
        <v>26</v>
      </c>
      <c r="S260" t="s">
        <v>26</v>
      </c>
      <c r="T260" t="s">
        <v>26</v>
      </c>
      <c r="U260" t="s">
        <v>26</v>
      </c>
      <c r="V260">
        <v>148.4</v>
      </c>
      <c r="W260" t="s">
        <v>26</v>
      </c>
      <c r="X260">
        <v>154.30000000000001</v>
      </c>
      <c r="Y260" t="s">
        <v>26</v>
      </c>
      <c r="Z260" t="s">
        <v>26</v>
      </c>
      <c r="AA260" t="s">
        <v>26</v>
      </c>
      <c r="AB260" t="s">
        <v>26</v>
      </c>
      <c r="AC260" t="s">
        <v>26</v>
      </c>
      <c r="AD260" t="s">
        <v>26</v>
      </c>
    </row>
    <row r="261" spans="1:30" x14ac:dyDescent="0.25">
      <c r="A261" t="s">
        <v>11</v>
      </c>
      <c r="B261">
        <v>2020</v>
      </c>
      <c r="C261" t="s">
        <v>16</v>
      </c>
      <c r="D261">
        <v>151.80000000000001</v>
      </c>
      <c r="E261" t="s">
        <v>26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 t="s">
        <v>26</v>
      </c>
      <c r="P261">
        <v>153.5</v>
      </c>
      <c r="Q261" t="s">
        <v>26</v>
      </c>
      <c r="R261" t="s">
        <v>26</v>
      </c>
      <c r="S261" t="s">
        <v>26</v>
      </c>
      <c r="T261" t="s">
        <v>26</v>
      </c>
      <c r="U261">
        <v>155.6</v>
      </c>
      <c r="V261">
        <v>137.1</v>
      </c>
      <c r="W261" t="s">
        <v>26</v>
      </c>
      <c r="X261">
        <v>144.80000000000001</v>
      </c>
      <c r="Y261" t="s">
        <v>26</v>
      </c>
      <c r="Z261" t="s">
        <v>26</v>
      </c>
      <c r="AA261" t="s">
        <v>26</v>
      </c>
      <c r="AB261" t="s">
        <v>26</v>
      </c>
      <c r="AC261" t="s">
        <v>26</v>
      </c>
      <c r="AD261" t="s">
        <v>26</v>
      </c>
    </row>
    <row r="262" spans="1:30" x14ac:dyDescent="0.25">
      <c r="A262" t="s">
        <v>12</v>
      </c>
      <c r="B262">
        <v>2020</v>
      </c>
      <c r="C262" t="s">
        <v>16</v>
      </c>
      <c r="D262">
        <v>148.69999999999999</v>
      </c>
      <c r="E262" t="s">
        <v>26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 t="s">
        <v>26</v>
      </c>
      <c r="P262">
        <v>151.4</v>
      </c>
      <c r="Q262" t="s">
        <v>26</v>
      </c>
      <c r="R262" t="s">
        <v>26</v>
      </c>
      <c r="S262" t="s">
        <v>26</v>
      </c>
      <c r="T262" t="s">
        <v>26</v>
      </c>
      <c r="U262">
        <v>155.6</v>
      </c>
      <c r="V262">
        <v>144.1</v>
      </c>
      <c r="W262" t="s">
        <v>26</v>
      </c>
      <c r="X262">
        <v>150.69999999999999</v>
      </c>
      <c r="Y262" t="s">
        <v>26</v>
      </c>
      <c r="Z262" t="s">
        <v>26</v>
      </c>
      <c r="AA262" t="s">
        <v>26</v>
      </c>
      <c r="AB262" t="s">
        <v>26</v>
      </c>
      <c r="AC262" t="s">
        <v>26</v>
      </c>
      <c r="AD262" t="s">
        <v>26</v>
      </c>
    </row>
    <row r="263" spans="1:30" x14ac:dyDescent="0.25">
      <c r="A263" t="s">
        <v>9</v>
      </c>
      <c r="B263">
        <v>2020</v>
      </c>
      <c r="C263" t="s">
        <v>14</v>
      </c>
      <c r="D263" t="s">
        <v>26</v>
      </c>
      <c r="E263" t="s">
        <v>26</v>
      </c>
      <c r="F263" t="s">
        <v>26</v>
      </c>
      <c r="G263" t="s">
        <v>26</v>
      </c>
      <c r="H263" t="s">
        <v>26</v>
      </c>
      <c r="I263" t="s">
        <v>26</v>
      </c>
      <c r="J263" t="s">
        <v>26</v>
      </c>
      <c r="K263" t="s">
        <v>26</v>
      </c>
      <c r="L263" t="s">
        <v>26</v>
      </c>
      <c r="M263" t="s">
        <v>26</v>
      </c>
      <c r="N263" t="s">
        <v>26</v>
      </c>
      <c r="O263" t="s">
        <v>26</v>
      </c>
      <c r="P263" t="s">
        <v>26</v>
      </c>
      <c r="Q263" t="s">
        <v>26</v>
      </c>
      <c r="R263" t="s">
        <v>26</v>
      </c>
      <c r="S263" t="s">
        <v>26</v>
      </c>
      <c r="T263" t="s">
        <v>26</v>
      </c>
      <c r="U263" t="s">
        <v>26</v>
      </c>
      <c r="V263" t="s">
        <v>26</v>
      </c>
      <c r="W263" t="s">
        <v>26</v>
      </c>
      <c r="X263" t="s">
        <v>26</v>
      </c>
      <c r="Y263" t="s">
        <v>26</v>
      </c>
      <c r="Z263" t="s">
        <v>26</v>
      </c>
      <c r="AA263" t="s">
        <v>26</v>
      </c>
      <c r="AB263" t="s">
        <v>26</v>
      </c>
      <c r="AC263" t="s">
        <v>26</v>
      </c>
      <c r="AD263" t="s">
        <v>26</v>
      </c>
    </row>
    <row r="264" spans="1:30" x14ac:dyDescent="0.25">
      <c r="A264" t="s">
        <v>11</v>
      </c>
      <c r="B264">
        <v>2020</v>
      </c>
      <c r="C264" t="s">
        <v>14</v>
      </c>
      <c r="D264" t="s">
        <v>26</v>
      </c>
      <c r="E264" t="s">
        <v>26</v>
      </c>
      <c r="F264" t="s">
        <v>26</v>
      </c>
      <c r="G264" t="s">
        <v>26</v>
      </c>
      <c r="H264" t="s">
        <v>26</v>
      </c>
      <c r="I264" t="s">
        <v>26</v>
      </c>
      <c r="J264" t="s">
        <v>26</v>
      </c>
      <c r="K264" t="s">
        <v>26</v>
      </c>
      <c r="L264" t="s">
        <v>26</v>
      </c>
      <c r="M264" t="s">
        <v>26</v>
      </c>
      <c r="N264" t="s">
        <v>26</v>
      </c>
      <c r="O264" t="s">
        <v>26</v>
      </c>
      <c r="P264" t="s">
        <v>26</v>
      </c>
      <c r="Q264" t="s">
        <v>26</v>
      </c>
      <c r="R264" t="s">
        <v>26</v>
      </c>
      <c r="S264" t="s">
        <v>26</v>
      </c>
      <c r="T264" t="s">
        <v>26</v>
      </c>
      <c r="U264" t="s">
        <v>26</v>
      </c>
      <c r="V264" t="s">
        <v>26</v>
      </c>
      <c r="W264" t="s">
        <v>26</v>
      </c>
      <c r="X264" t="s">
        <v>26</v>
      </c>
      <c r="Y264" t="s">
        <v>26</v>
      </c>
      <c r="Z264" t="s">
        <v>26</v>
      </c>
      <c r="AA264" t="s">
        <v>26</v>
      </c>
      <c r="AB264" t="s">
        <v>26</v>
      </c>
      <c r="AC264" t="s">
        <v>26</v>
      </c>
      <c r="AD264" t="s">
        <v>26</v>
      </c>
    </row>
    <row r="265" spans="1:30" x14ac:dyDescent="0.25">
      <c r="A265" t="s">
        <v>12</v>
      </c>
      <c r="B265">
        <v>2020</v>
      </c>
      <c r="C265" t="s">
        <v>14</v>
      </c>
      <c r="D265" t="s">
        <v>26</v>
      </c>
      <c r="E265" t="s">
        <v>26</v>
      </c>
      <c r="F265" t="s">
        <v>26</v>
      </c>
      <c r="G265" t="s">
        <v>26</v>
      </c>
      <c r="H265" t="s">
        <v>26</v>
      </c>
      <c r="I265" t="s">
        <v>26</v>
      </c>
      <c r="J265" t="s">
        <v>26</v>
      </c>
      <c r="K265" t="s">
        <v>26</v>
      </c>
      <c r="L265" t="s">
        <v>26</v>
      </c>
      <c r="M265" t="s">
        <v>26</v>
      </c>
      <c r="N265" t="s">
        <v>26</v>
      </c>
      <c r="O265" t="s">
        <v>26</v>
      </c>
      <c r="P265" t="s">
        <v>26</v>
      </c>
      <c r="Q265" t="s">
        <v>26</v>
      </c>
      <c r="R265" t="s">
        <v>26</v>
      </c>
      <c r="S265" t="s">
        <v>26</v>
      </c>
      <c r="T265" t="s">
        <v>26</v>
      </c>
      <c r="U265" t="s">
        <v>26</v>
      </c>
      <c r="V265" t="s">
        <v>26</v>
      </c>
      <c r="W265" t="s">
        <v>26</v>
      </c>
      <c r="X265" t="s">
        <v>26</v>
      </c>
      <c r="Y265" t="s">
        <v>26</v>
      </c>
      <c r="Z265" t="s">
        <v>26</v>
      </c>
      <c r="AA265" t="s">
        <v>26</v>
      </c>
      <c r="AB265" t="s">
        <v>26</v>
      </c>
      <c r="AC265" t="s">
        <v>26</v>
      </c>
      <c r="AD265" t="s">
        <v>26</v>
      </c>
    </row>
    <row r="266" spans="1:30" x14ac:dyDescent="0.25">
      <c r="A266" t="s">
        <v>9</v>
      </c>
      <c r="B266">
        <v>2020</v>
      </c>
      <c r="C266" t="s">
        <v>17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26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 x14ac:dyDescent="0.25">
      <c r="A267" t="s">
        <v>11</v>
      </c>
      <c r="B267">
        <v>2020</v>
      </c>
      <c r="C267" t="s">
        <v>17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 x14ac:dyDescent="0.25">
      <c r="A268" t="s">
        <v>12</v>
      </c>
      <c r="B268">
        <v>2020</v>
      </c>
      <c r="C268" t="s">
        <v>17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 x14ac:dyDescent="0.25">
      <c r="A269" t="s">
        <v>9</v>
      </c>
      <c r="B269">
        <v>2020</v>
      </c>
      <c r="C269" t="s">
        <v>18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26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 x14ac:dyDescent="0.25">
      <c r="A270" t="s">
        <v>11</v>
      </c>
      <c r="B270">
        <v>2020</v>
      </c>
      <c r="C270" t="s">
        <v>18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 x14ac:dyDescent="0.25">
      <c r="A271" t="s">
        <v>12</v>
      </c>
      <c r="B271">
        <v>2020</v>
      </c>
      <c r="C271" t="s">
        <v>18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 x14ac:dyDescent="0.25">
      <c r="A272" t="s">
        <v>9</v>
      </c>
      <c r="B272">
        <v>2020</v>
      </c>
      <c r="C272" t="s">
        <v>19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26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 x14ac:dyDescent="0.25">
      <c r="A273" t="s">
        <v>11</v>
      </c>
      <c r="B273">
        <v>2020</v>
      </c>
      <c r="C273" t="s">
        <v>19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>
        <v>155.5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 x14ac:dyDescent="0.25">
      <c r="A274" t="s">
        <v>12</v>
      </c>
      <c r="B274">
        <v>2020</v>
      </c>
      <c r="C274" t="s">
        <v>19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>
        <v>155.5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 x14ac:dyDescent="0.25">
      <c r="A275" t="s">
        <v>9</v>
      </c>
      <c r="B275">
        <v>2020</v>
      </c>
      <c r="C275" t="s">
        <v>20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26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 x14ac:dyDescent="0.25">
      <c r="A276" t="s">
        <v>11</v>
      </c>
      <c r="B276">
        <v>2020</v>
      </c>
      <c r="C276" t="s">
        <v>20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>
        <v>156.30000000000001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 x14ac:dyDescent="0.25">
      <c r="A277" t="s">
        <v>12</v>
      </c>
      <c r="B277">
        <v>2020</v>
      </c>
      <c r="C277" t="s">
        <v>20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>
        <v>156.30000000000001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 x14ac:dyDescent="0.25">
      <c r="A278" t="s">
        <v>9</v>
      </c>
      <c r="B278">
        <v>2020</v>
      </c>
      <c r="C278" t="s">
        <v>21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26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 x14ac:dyDescent="0.25">
      <c r="A279" t="s">
        <v>11</v>
      </c>
      <c r="B279">
        <v>2020</v>
      </c>
      <c r="C279" t="s">
        <v>21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>
        <v>156.5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 x14ac:dyDescent="0.25">
      <c r="A280" t="s">
        <v>12</v>
      </c>
      <c r="B280">
        <v>2020</v>
      </c>
      <c r="C280" t="s">
        <v>21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>
        <v>156.5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 x14ac:dyDescent="0.25">
      <c r="A281" t="s">
        <v>9</v>
      </c>
      <c r="B281">
        <v>2020</v>
      </c>
      <c r="C281" t="s">
        <v>23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26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 x14ac:dyDescent="0.25">
      <c r="A282" t="s">
        <v>11</v>
      </c>
      <c r="B282">
        <v>2020</v>
      </c>
      <c r="C282" t="s">
        <v>23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>
        <v>158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 x14ac:dyDescent="0.25">
      <c r="A283" t="s">
        <v>12</v>
      </c>
      <c r="B283">
        <v>2020</v>
      </c>
      <c r="C283" t="s">
        <v>23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>
        <v>158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 x14ac:dyDescent="0.25">
      <c r="A284" t="s">
        <v>9</v>
      </c>
      <c r="B284">
        <v>2020</v>
      </c>
      <c r="C284" t="s">
        <v>24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26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 x14ac:dyDescent="0.25">
      <c r="A285" t="s">
        <v>11</v>
      </c>
      <c r="B285">
        <v>2020</v>
      </c>
      <c r="C285" t="s">
        <v>24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>
        <v>158.4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 x14ac:dyDescent="0.25">
      <c r="A286" t="s">
        <v>12</v>
      </c>
      <c r="B286">
        <v>2020</v>
      </c>
      <c r="C286" t="s">
        <v>24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>
        <v>158.4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 x14ac:dyDescent="0.25">
      <c r="A287" t="s">
        <v>9</v>
      </c>
      <c r="B287">
        <v>2021</v>
      </c>
      <c r="C287" t="s">
        <v>10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26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 x14ac:dyDescent="0.25">
      <c r="A288" t="s">
        <v>11</v>
      </c>
      <c r="B288">
        <v>2021</v>
      </c>
      <c r="C288" t="s">
        <v>10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>
        <v>157.69999999999999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 x14ac:dyDescent="0.25">
      <c r="A289" t="s">
        <v>12</v>
      </c>
      <c r="B289">
        <v>2021</v>
      </c>
      <c r="C289" t="s">
        <v>10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>
        <v>157.69999999999999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 x14ac:dyDescent="0.25">
      <c r="A290" t="s">
        <v>9</v>
      </c>
      <c r="B290">
        <v>2021</v>
      </c>
      <c r="C290" t="s">
        <v>13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26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 x14ac:dyDescent="0.25">
      <c r="A291" t="s">
        <v>11</v>
      </c>
      <c r="B291">
        <v>2021</v>
      </c>
      <c r="C291" t="s">
        <v>13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>
        <v>159.80000000000001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 x14ac:dyDescent="0.25">
      <c r="A292" t="s">
        <v>12</v>
      </c>
      <c r="B292">
        <v>2021</v>
      </c>
      <c r="C292" t="s">
        <v>13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>
        <v>159.80000000000001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 x14ac:dyDescent="0.25">
      <c r="A293" t="s">
        <v>9</v>
      </c>
      <c r="B293">
        <v>2021</v>
      </c>
      <c r="C293" t="s">
        <v>15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48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 x14ac:dyDescent="0.25">
      <c r="A294" t="s">
        <v>11</v>
      </c>
      <c r="B294">
        <v>2021</v>
      </c>
      <c r="C294" t="s">
        <v>15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>
        <v>159.9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 x14ac:dyDescent="0.25">
      <c r="A295" t="s">
        <v>12</v>
      </c>
      <c r="B295">
        <v>2021</v>
      </c>
      <c r="C295" t="s">
        <v>15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>
        <v>159.9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 x14ac:dyDescent="0.25">
      <c r="A296" t="s">
        <v>9</v>
      </c>
      <c r="B296">
        <v>2021</v>
      </c>
      <c r="C296" t="s">
        <v>16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48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 x14ac:dyDescent="0.25">
      <c r="A297" t="s">
        <v>11</v>
      </c>
      <c r="B297">
        <v>2021</v>
      </c>
      <c r="C297" t="s">
        <v>16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>
        <v>161.4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 x14ac:dyDescent="0.25">
      <c r="A298" t="s">
        <v>12</v>
      </c>
      <c r="B298">
        <v>2021</v>
      </c>
      <c r="C298" t="s">
        <v>16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>
        <v>161.4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 x14ac:dyDescent="0.25">
      <c r="A299" t="s">
        <v>9</v>
      </c>
      <c r="B299">
        <v>2021</v>
      </c>
      <c r="C299" t="s">
        <v>14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26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 x14ac:dyDescent="0.25">
      <c r="A300" t="s">
        <v>11</v>
      </c>
      <c r="B300">
        <v>2021</v>
      </c>
      <c r="C300" t="s">
        <v>14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>
        <v>161.6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 x14ac:dyDescent="0.25">
      <c r="A301" t="s">
        <v>12</v>
      </c>
      <c r="B301">
        <v>2021</v>
      </c>
      <c r="C301" t="s">
        <v>14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>
        <v>161.6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 x14ac:dyDescent="0.25">
      <c r="A302" t="s">
        <v>9</v>
      </c>
      <c r="B302">
        <v>2021</v>
      </c>
      <c r="C302" t="s">
        <v>17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26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 x14ac:dyDescent="0.25">
      <c r="A303" t="s">
        <v>11</v>
      </c>
      <c r="B303">
        <v>2021</v>
      </c>
      <c r="C303" t="s">
        <v>17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>
        <v>160.5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 x14ac:dyDescent="0.25">
      <c r="A304" t="s">
        <v>12</v>
      </c>
      <c r="B304">
        <v>2021</v>
      </c>
      <c r="C304" t="s">
        <v>17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>
        <v>160.5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 x14ac:dyDescent="0.25">
      <c r="A305" t="s">
        <v>9</v>
      </c>
      <c r="B305">
        <v>2021</v>
      </c>
      <c r="C305" t="s">
        <v>18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26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 x14ac:dyDescent="0.25">
      <c r="A306" t="s">
        <v>11</v>
      </c>
      <c r="B306">
        <v>2021</v>
      </c>
      <c r="C306" t="s">
        <v>18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>
        <v>161.5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 x14ac:dyDescent="0.25">
      <c r="A307" t="s">
        <v>12</v>
      </c>
      <c r="B307">
        <v>2021</v>
      </c>
      <c r="C307" t="s">
        <v>18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>
        <v>161.5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 x14ac:dyDescent="0.25">
      <c r="A308" t="s">
        <v>9</v>
      </c>
      <c r="B308">
        <v>2021</v>
      </c>
      <c r="C308" t="s">
        <v>19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26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 x14ac:dyDescent="0.25">
      <c r="A309" t="s">
        <v>11</v>
      </c>
      <c r="B309">
        <v>2021</v>
      </c>
      <c r="C309" t="s">
        <v>19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>
        <v>162.1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 x14ac:dyDescent="0.25">
      <c r="A310" t="s">
        <v>12</v>
      </c>
      <c r="B310">
        <v>2021</v>
      </c>
      <c r="C310" t="s">
        <v>19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>
        <v>162.1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 x14ac:dyDescent="0.25">
      <c r="A311" t="s">
        <v>9</v>
      </c>
      <c r="B311">
        <v>2021</v>
      </c>
      <c r="C311" t="s">
        <v>20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26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 x14ac:dyDescent="0.25">
      <c r="A312" t="s">
        <v>11</v>
      </c>
      <c r="B312">
        <v>2021</v>
      </c>
      <c r="C312" t="s">
        <v>20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>
        <v>162.1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 x14ac:dyDescent="0.25">
      <c r="A313" t="s">
        <v>12</v>
      </c>
      <c r="B313">
        <v>2021</v>
      </c>
      <c r="C313" t="s">
        <v>20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 x14ac:dyDescent="0.25">
      <c r="A314" t="s">
        <v>9</v>
      </c>
      <c r="B314">
        <v>2021</v>
      </c>
      <c r="C314" t="s">
        <v>21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26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 x14ac:dyDescent="0.25">
      <c r="A315" t="s">
        <v>11</v>
      </c>
      <c r="B315">
        <v>2021</v>
      </c>
      <c r="C315" t="s">
        <v>21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>
        <v>163.6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 x14ac:dyDescent="0.25">
      <c r="A316" t="s">
        <v>12</v>
      </c>
      <c r="B316">
        <v>2021</v>
      </c>
      <c r="C316" t="s">
        <v>21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>
        <v>163.6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 x14ac:dyDescent="0.25">
      <c r="A317" t="s">
        <v>9</v>
      </c>
      <c r="B317">
        <v>2021</v>
      </c>
      <c r="C317" t="s">
        <v>23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26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 x14ac:dyDescent="0.25">
      <c r="A318" t="s">
        <v>11</v>
      </c>
      <c r="B318">
        <v>2021</v>
      </c>
      <c r="C318" t="s">
        <v>23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>
        <v>164.2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 x14ac:dyDescent="0.25">
      <c r="A319" t="s">
        <v>12</v>
      </c>
      <c r="B319">
        <v>2021</v>
      </c>
      <c r="C319" t="s">
        <v>23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>
        <v>164.2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 x14ac:dyDescent="0.25">
      <c r="A320" t="s">
        <v>9</v>
      </c>
      <c r="B320">
        <v>2021</v>
      </c>
      <c r="C320" t="s">
        <v>24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26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 x14ac:dyDescent="0.25">
      <c r="A321" t="s">
        <v>11</v>
      </c>
      <c r="B321">
        <v>2021</v>
      </c>
      <c r="C321" t="s">
        <v>24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>
        <v>163.4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 x14ac:dyDescent="0.25">
      <c r="A322" t="s">
        <v>12</v>
      </c>
      <c r="B322">
        <v>2021</v>
      </c>
      <c r="C322" t="s">
        <v>24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>
        <v>163.4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 x14ac:dyDescent="0.25">
      <c r="A323" t="s">
        <v>9</v>
      </c>
      <c r="B323">
        <v>2022</v>
      </c>
      <c r="C323" t="s">
        <v>10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26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 x14ac:dyDescent="0.25">
      <c r="A324" t="s">
        <v>11</v>
      </c>
      <c r="B324">
        <v>2022</v>
      </c>
      <c r="C324" t="s">
        <v>10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>
        <v>164.5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 x14ac:dyDescent="0.25">
      <c r="A325" t="s">
        <v>12</v>
      </c>
      <c r="B325">
        <v>2022</v>
      </c>
      <c r="C325" t="s">
        <v>10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>
        <v>164.5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 x14ac:dyDescent="0.25">
      <c r="A326" t="s">
        <v>9</v>
      </c>
      <c r="B326">
        <v>2022</v>
      </c>
      <c r="C326" t="s">
        <v>13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26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 x14ac:dyDescent="0.25">
      <c r="A327" t="s">
        <v>11</v>
      </c>
      <c r="B327">
        <v>2022</v>
      </c>
      <c r="C327" t="s">
        <v>13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>
        <v>165.5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 x14ac:dyDescent="0.25">
      <c r="A328" t="s">
        <v>12</v>
      </c>
      <c r="B328">
        <v>2022</v>
      </c>
      <c r="C328" t="s">
        <v>13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>
        <v>165.5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 x14ac:dyDescent="0.25">
      <c r="A329" t="s">
        <v>9</v>
      </c>
      <c r="B329">
        <v>2022</v>
      </c>
      <c r="C329" t="s">
        <v>15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26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 x14ac:dyDescent="0.25">
      <c r="A330" t="s">
        <v>11</v>
      </c>
      <c r="B330">
        <v>2022</v>
      </c>
      <c r="C330" t="s">
        <v>15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>
        <v>165.3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 x14ac:dyDescent="0.25">
      <c r="A331" t="s">
        <v>12</v>
      </c>
      <c r="B331">
        <v>2022</v>
      </c>
      <c r="C331" t="s">
        <v>15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>
        <v>165.3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 x14ac:dyDescent="0.25">
      <c r="A332" t="s">
        <v>9</v>
      </c>
      <c r="B332">
        <v>2022</v>
      </c>
      <c r="C332" t="s">
        <v>16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26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 x14ac:dyDescent="0.25">
      <c r="A333" t="s">
        <v>11</v>
      </c>
      <c r="B333">
        <v>2022</v>
      </c>
      <c r="C333" t="s">
        <v>16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>
        <v>167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 x14ac:dyDescent="0.25">
      <c r="A334" t="s">
        <v>12</v>
      </c>
      <c r="B334">
        <v>2022</v>
      </c>
      <c r="C334" t="s">
        <v>16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>
        <v>167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 x14ac:dyDescent="0.25">
      <c r="A335" t="s">
        <v>9</v>
      </c>
      <c r="B335">
        <v>2022</v>
      </c>
      <c r="C335" t="s">
        <v>14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26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 x14ac:dyDescent="0.25">
      <c r="A336" t="s">
        <v>11</v>
      </c>
      <c r="B336">
        <v>2022</v>
      </c>
      <c r="C336" t="s">
        <v>14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>
        <v>167.5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 x14ac:dyDescent="0.25">
      <c r="A337" t="s">
        <v>12</v>
      </c>
      <c r="B337">
        <v>2022</v>
      </c>
      <c r="C337" t="s">
        <v>14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>
        <v>167.5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 x14ac:dyDescent="0.25">
      <c r="A338" t="s">
        <v>9</v>
      </c>
      <c r="B338">
        <v>2022</v>
      </c>
      <c r="C338" t="s">
        <v>17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26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 x14ac:dyDescent="0.25">
      <c r="A339" t="s">
        <v>11</v>
      </c>
      <c r="B339">
        <v>2022</v>
      </c>
      <c r="C339" t="s">
        <v>17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>
        <v>166.8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 x14ac:dyDescent="0.25">
      <c r="A340" t="s">
        <v>12</v>
      </c>
      <c r="B340">
        <v>2022</v>
      </c>
      <c r="C340" t="s">
        <v>17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>
        <v>166.8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 x14ac:dyDescent="0.25">
      <c r="A341" t="s">
        <v>9</v>
      </c>
      <c r="B341">
        <v>2022</v>
      </c>
      <c r="C341" t="s">
        <v>18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26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 x14ac:dyDescent="0.25">
      <c r="A342" t="s">
        <v>11</v>
      </c>
      <c r="B342">
        <v>2022</v>
      </c>
      <c r="C342" t="s">
        <v>18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>
        <v>167.8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 x14ac:dyDescent="0.25">
      <c r="A343" t="s">
        <v>12</v>
      </c>
      <c r="B343">
        <v>2022</v>
      </c>
      <c r="C343" t="s">
        <v>18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>
        <v>167.8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 x14ac:dyDescent="0.25">
      <c r="A344" t="s">
        <v>9</v>
      </c>
      <c r="B344">
        <v>2022</v>
      </c>
      <c r="C344" t="s">
        <v>19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26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 x14ac:dyDescent="0.25">
      <c r="A345" t="s">
        <v>11</v>
      </c>
      <c r="B345">
        <v>2022</v>
      </c>
      <c r="C345" t="s">
        <v>19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>
        <v>169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 x14ac:dyDescent="0.25">
      <c r="A346" t="s">
        <v>12</v>
      </c>
      <c r="B346">
        <v>2022</v>
      </c>
      <c r="C346" t="s">
        <v>19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>
        <v>169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 x14ac:dyDescent="0.25">
      <c r="A347" t="s">
        <v>9</v>
      </c>
      <c r="B347">
        <v>2022</v>
      </c>
      <c r="C347" t="s">
        <v>20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26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 x14ac:dyDescent="0.25">
      <c r="A348" t="s">
        <v>11</v>
      </c>
      <c r="B348">
        <v>2022</v>
      </c>
      <c r="C348" t="s">
        <v>20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>
        <v>169.5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 x14ac:dyDescent="0.25">
      <c r="A349" t="s">
        <v>12</v>
      </c>
      <c r="B349">
        <v>2022</v>
      </c>
      <c r="C349" t="s">
        <v>20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>
        <v>169.5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 x14ac:dyDescent="0.25">
      <c r="A350" t="s">
        <v>9</v>
      </c>
      <c r="B350">
        <v>2022</v>
      </c>
      <c r="C350" t="s">
        <v>21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26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 x14ac:dyDescent="0.25">
      <c r="A351" t="s">
        <v>11</v>
      </c>
      <c r="B351">
        <v>2022</v>
      </c>
      <c r="C351" t="s">
        <v>21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>
        <v>171.2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 x14ac:dyDescent="0.25">
      <c r="A352" t="s">
        <v>12</v>
      </c>
      <c r="B352">
        <v>2022</v>
      </c>
      <c r="C352" t="s">
        <v>21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>
        <v>171.2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 x14ac:dyDescent="0.25">
      <c r="A353" t="s">
        <v>9</v>
      </c>
      <c r="B353">
        <v>2022</v>
      </c>
      <c r="C353" t="s">
        <v>23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26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 x14ac:dyDescent="0.25">
      <c r="A354" t="s">
        <v>11</v>
      </c>
      <c r="B354">
        <v>2022</v>
      </c>
      <c r="C354" t="s">
        <v>23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>
        <v>171.8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 x14ac:dyDescent="0.25">
      <c r="A355" t="s">
        <v>12</v>
      </c>
      <c r="B355">
        <v>2022</v>
      </c>
      <c r="C355" t="s">
        <v>23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>
        <v>171.8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 x14ac:dyDescent="0.25">
      <c r="A356" t="s">
        <v>9</v>
      </c>
      <c r="B356">
        <v>2022</v>
      </c>
      <c r="C356" t="s">
        <v>24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26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 x14ac:dyDescent="0.25">
      <c r="A357" t="s">
        <v>11</v>
      </c>
      <c r="B357">
        <v>2022</v>
      </c>
      <c r="C357" t="s">
        <v>24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>
        <v>170.7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 x14ac:dyDescent="0.25">
      <c r="A358" t="s">
        <v>12</v>
      </c>
      <c r="B358">
        <v>2022</v>
      </c>
      <c r="C358" t="s">
        <v>24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>
        <v>170.7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 x14ac:dyDescent="0.25">
      <c r="A359" t="s">
        <v>9</v>
      </c>
      <c r="B359">
        <v>2023</v>
      </c>
      <c r="C359" t="s">
        <v>10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26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 x14ac:dyDescent="0.25">
      <c r="A360" t="s">
        <v>11</v>
      </c>
      <c r="B360">
        <v>2023</v>
      </c>
      <c r="C360" t="s">
        <v>10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>
        <v>172.1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 x14ac:dyDescent="0.25">
      <c r="A361" t="s">
        <v>12</v>
      </c>
      <c r="B361">
        <v>2023</v>
      </c>
      <c r="C361" t="s">
        <v>10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>
        <v>172.1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 x14ac:dyDescent="0.25">
      <c r="A362" t="s">
        <v>9</v>
      </c>
      <c r="B362">
        <v>2023</v>
      </c>
      <c r="C362" t="s">
        <v>13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26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 x14ac:dyDescent="0.25">
      <c r="A363" t="s">
        <v>11</v>
      </c>
      <c r="B363">
        <v>2023</v>
      </c>
      <c r="C363" t="s">
        <v>13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>
        <v>173.5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 x14ac:dyDescent="0.25">
      <c r="A364" t="s">
        <v>12</v>
      </c>
      <c r="B364">
        <v>2023</v>
      </c>
      <c r="C364" t="s">
        <v>13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>
        <v>173.5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 x14ac:dyDescent="0.25">
      <c r="A365" t="s">
        <v>9</v>
      </c>
      <c r="B365">
        <v>2023</v>
      </c>
      <c r="C365" t="s">
        <v>15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26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x14ac:dyDescent="0.25">
      <c r="A366" t="s">
        <v>11</v>
      </c>
      <c r="B366">
        <v>2023</v>
      </c>
      <c r="C366" t="s">
        <v>15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>
        <v>173.5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 x14ac:dyDescent="0.25">
      <c r="A367" t="s">
        <v>12</v>
      </c>
      <c r="B367">
        <v>2023</v>
      </c>
      <c r="C367" t="s">
        <v>15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>
        <v>173.5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 x14ac:dyDescent="0.25">
      <c r="A368" t="s">
        <v>9</v>
      </c>
      <c r="B368">
        <v>2023</v>
      </c>
      <c r="C368" t="s">
        <v>16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48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 x14ac:dyDescent="0.25">
      <c r="A369" t="s">
        <v>11</v>
      </c>
      <c r="B369">
        <v>2023</v>
      </c>
      <c r="C369" t="s">
        <v>16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>
        <v>175.2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 x14ac:dyDescent="0.25">
      <c r="A370" t="s">
        <v>12</v>
      </c>
      <c r="B370">
        <v>2023</v>
      </c>
      <c r="C370" t="s">
        <v>16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>
        <v>175.2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 x14ac:dyDescent="0.25">
      <c r="A371" t="s">
        <v>9</v>
      </c>
      <c r="B371">
        <v>2023</v>
      </c>
      <c r="C371" t="s">
        <v>14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48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 x14ac:dyDescent="0.25">
      <c r="A372" t="s">
        <v>11</v>
      </c>
      <c r="B372">
        <v>2023</v>
      </c>
      <c r="C372" t="s">
        <v>14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>
        <v>175.6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 x14ac:dyDescent="0.25">
      <c r="A373" t="s">
        <v>12</v>
      </c>
      <c r="B373">
        <v>2023</v>
      </c>
      <c r="C373" t="s">
        <v>14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>
        <v>175.6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E96F-664C-46F8-A420-3FEC356B99FE}">
  <dimension ref="A1:AE373"/>
  <sheetViews>
    <sheetView zoomScale="104" workbookViewId="0">
      <selection activeCell="D37" sqref="D37"/>
    </sheetView>
  </sheetViews>
  <sheetFormatPr defaultRowHeight="15" x14ac:dyDescent="0.25"/>
  <cols>
    <col min="4" max="4" width="24" customWidth="1"/>
    <col min="6" max="6" width="15.5703125" bestFit="1" customWidth="1"/>
  </cols>
  <sheetData>
    <row r="1" spans="1:31" x14ac:dyDescent="0.25">
      <c r="A1" s="51" t="s">
        <v>0</v>
      </c>
      <c r="B1" s="51" t="s">
        <v>1</v>
      </c>
      <c r="C1" s="51" t="s">
        <v>2</v>
      </c>
      <c r="D1" s="51" t="s">
        <v>63</v>
      </c>
      <c r="E1" s="51" t="s">
        <v>27</v>
      </c>
      <c r="F1" s="51" t="s">
        <v>28</v>
      </c>
      <c r="G1" s="51" t="s">
        <v>29</v>
      </c>
      <c r="H1" s="51" t="s">
        <v>30</v>
      </c>
      <c r="I1" s="51" t="s">
        <v>31</v>
      </c>
      <c r="J1" s="51" t="s">
        <v>32</v>
      </c>
      <c r="K1" s="51" t="s">
        <v>33</v>
      </c>
      <c r="L1" s="51" t="s">
        <v>34</v>
      </c>
      <c r="M1" s="51" t="s">
        <v>35</v>
      </c>
      <c r="N1" s="51" t="s">
        <v>36</v>
      </c>
      <c r="O1" s="51" t="s">
        <v>37</v>
      </c>
      <c r="P1" s="51" t="s">
        <v>38</v>
      </c>
      <c r="Q1" s="51" t="s">
        <v>3</v>
      </c>
      <c r="R1" s="51" t="s">
        <v>4</v>
      </c>
      <c r="S1" s="51" t="s">
        <v>39</v>
      </c>
      <c r="T1" s="51" t="s">
        <v>40</v>
      </c>
      <c r="U1" s="51" t="s">
        <v>5</v>
      </c>
      <c r="V1" s="51" t="s">
        <v>41</v>
      </c>
      <c r="W1" s="51" t="s">
        <v>7</v>
      </c>
      <c r="X1" s="51" t="s">
        <v>6</v>
      </c>
      <c r="Y1" s="51" t="s">
        <v>42</v>
      </c>
      <c r="Z1" s="51" t="s">
        <v>43</v>
      </c>
      <c r="AA1" s="51" t="s">
        <v>44</v>
      </c>
      <c r="AB1" s="51" t="s">
        <v>45</v>
      </c>
      <c r="AC1" s="51" t="s">
        <v>46</v>
      </c>
      <c r="AD1" s="51" t="s">
        <v>8</v>
      </c>
      <c r="AE1" s="51" t="s">
        <v>47</v>
      </c>
    </row>
    <row r="2" spans="1:31" x14ac:dyDescent="0.25">
      <c r="A2" t="s">
        <v>9</v>
      </c>
      <c r="B2">
        <v>2013</v>
      </c>
      <c r="C2" t="s">
        <v>10</v>
      </c>
      <c r="D2" t="str">
        <f>B2&amp;C2&amp;A2</f>
        <v>2013JanuaryRural</v>
      </c>
      <c r="E2">
        <v>107.5</v>
      </c>
      <c r="F2">
        <v>106.3</v>
      </c>
      <c r="G2">
        <v>108.1</v>
      </c>
      <c r="H2">
        <v>104.9</v>
      </c>
      <c r="I2">
        <v>106.1</v>
      </c>
      <c r="J2">
        <v>103.9</v>
      </c>
      <c r="K2">
        <v>101.9</v>
      </c>
      <c r="L2">
        <v>106.1</v>
      </c>
      <c r="M2">
        <v>106.8</v>
      </c>
      <c r="N2">
        <v>103.1</v>
      </c>
      <c r="O2">
        <v>104.8</v>
      </c>
      <c r="P2">
        <v>106.7</v>
      </c>
      <c r="Q2">
        <v>105.5</v>
      </c>
      <c r="R2">
        <v>105.1</v>
      </c>
      <c r="S2">
        <v>106.5</v>
      </c>
      <c r="T2">
        <v>105.8</v>
      </c>
      <c r="U2">
        <v>106.4</v>
      </c>
      <c r="V2" t="s">
        <v>26</v>
      </c>
      <c r="W2">
        <v>105.5</v>
      </c>
      <c r="X2">
        <v>104.8</v>
      </c>
      <c r="Y2">
        <v>104</v>
      </c>
      <c r="Z2">
        <v>103.3</v>
      </c>
      <c r="AA2">
        <v>103.4</v>
      </c>
      <c r="AB2">
        <v>103.8</v>
      </c>
      <c r="AC2">
        <v>104.7</v>
      </c>
      <c r="AD2">
        <v>104</v>
      </c>
      <c r="AE2">
        <v>105.1</v>
      </c>
    </row>
    <row r="3" spans="1:31" x14ac:dyDescent="0.25">
      <c r="A3" t="s">
        <v>11</v>
      </c>
      <c r="B3">
        <v>2013</v>
      </c>
      <c r="C3" t="s">
        <v>10</v>
      </c>
      <c r="D3" t="str">
        <f t="shared" ref="D3:D66" si="0">B3&amp;C3&amp;A3</f>
        <v>2013JanuaryUrban</v>
      </c>
      <c r="E3">
        <v>110.5</v>
      </c>
      <c r="F3">
        <v>109.1</v>
      </c>
      <c r="G3">
        <v>113</v>
      </c>
      <c r="H3">
        <v>103.6</v>
      </c>
      <c r="I3">
        <v>103.4</v>
      </c>
      <c r="J3">
        <v>102.3</v>
      </c>
      <c r="K3">
        <v>102.9</v>
      </c>
      <c r="L3">
        <v>105.8</v>
      </c>
      <c r="M3">
        <v>105.1</v>
      </c>
      <c r="N3">
        <v>101.8</v>
      </c>
      <c r="O3">
        <v>105.1</v>
      </c>
      <c r="P3">
        <v>107.9</v>
      </c>
      <c r="Q3">
        <v>105.9</v>
      </c>
      <c r="R3">
        <v>105.2</v>
      </c>
      <c r="S3">
        <v>105.9</v>
      </c>
      <c r="T3">
        <v>105</v>
      </c>
      <c r="U3">
        <v>105.8</v>
      </c>
      <c r="V3">
        <v>100.3</v>
      </c>
      <c r="W3">
        <v>105.4</v>
      </c>
      <c r="X3">
        <v>104.8</v>
      </c>
      <c r="Y3">
        <v>104.1</v>
      </c>
      <c r="Z3">
        <v>103.2</v>
      </c>
      <c r="AA3">
        <v>102.9</v>
      </c>
      <c r="AB3">
        <v>103.5</v>
      </c>
      <c r="AC3">
        <v>104.3</v>
      </c>
      <c r="AD3">
        <v>103.7</v>
      </c>
      <c r="AE3">
        <v>104</v>
      </c>
    </row>
    <row r="4" spans="1:31" x14ac:dyDescent="0.25">
      <c r="A4" t="s">
        <v>12</v>
      </c>
      <c r="B4">
        <v>2013</v>
      </c>
      <c r="C4" t="s">
        <v>10</v>
      </c>
      <c r="D4" t="str">
        <f t="shared" si="0"/>
        <v>2013JanuaryRural+Urban</v>
      </c>
      <c r="E4">
        <v>108.4</v>
      </c>
      <c r="F4">
        <v>107.3</v>
      </c>
      <c r="G4">
        <v>110</v>
      </c>
      <c r="H4">
        <v>104.4</v>
      </c>
      <c r="I4">
        <v>105.1</v>
      </c>
      <c r="J4">
        <v>103.2</v>
      </c>
      <c r="K4">
        <v>102.2</v>
      </c>
      <c r="L4">
        <v>106</v>
      </c>
      <c r="M4">
        <v>106.2</v>
      </c>
      <c r="N4">
        <v>102.7</v>
      </c>
      <c r="O4">
        <v>104.9</v>
      </c>
      <c r="P4">
        <v>107.3</v>
      </c>
      <c r="Q4">
        <v>105.6</v>
      </c>
      <c r="R4">
        <v>105.1</v>
      </c>
      <c r="S4">
        <v>106.3</v>
      </c>
      <c r="T4">
        <v>105.5</v>
      </c>
      <c r="U4">
        <v>106.2</v>
      </c>
      <c r="V4">
        <v>100.3</v>
      </c>
      <c r="W4">
        <v>105.5</v>
      </c>
      <c r="X4">
        <v>104.8</v>
      </c>
      <c r="Y4">
        <v>104</v>
      </c>
      <c r="Z4">
        <v>103.2</v>
      </c>
      <c r="AA4">
        <v>103.1</v>
      </c>
      <c r="AB4">
        <v>103.6</v>
      </c>
      <c r="AC4">
        <v>104.5</v>
      </c>
      <c r="AD4">
        <v>103.9</v>
      </c>
      <c r="AE4">
        <v>104.6</v>
      </c>
    </row>
    <row r="5" spans="1:31" x14ac:dyDescent="0.25">
      <c r="A5" t="s">
        <v>9</v>
      </c>
      <c r="B5">
        <v>2013</v>
      </c>
      <c r="C5" t="s">
        <v>13</v>
      </c>
      <c r="D5" t="str">
        <f t="shared" si="0"/>
        <v>2013FebruaryRural</v>
      </c>
      <c r="E5">
        <v>109.2</v>
      </c>
      <c r="F5">
        <v>108.7</v>
      </c>
      <c r="G5">
        <v>110.2</v>
      </c>
      <c r="H5">
        <v>105.4</v>
      </c>
      <c r="I5">
        <v>106.7</v>
      </c>
      <c r="J5">
        <v>104</v>
      </c>
      <c r="K5">
        <v>102.4</v>
      </c>
      <c r="L5">
        <v>105.9</v>
      </c>
      <c r="M5">
        <v>105.7</v>
      </c>
      <c r="N5">
        <v>103.1</v>
      </c>
      <c r="O5">
        <v>105.1</v>
      </c>
      <c r="P5">
        <v>107.7</v>
      </c>
      <c r="Q5">
        <v>106.3</v>
      </c>
      <c r="R5">
        <v>105.6</v>
      </c>
      <c r="S5">
        <v>107.1</v>
      </c>
      <c r="T5">
        <v>106.3</v>
      </c>
      <c r="U5">
        <v>107</v>
      </c>
      <c r="V5" t="s">
        <v>26</v>
      </c>
      <c r="W5">
        <v>106.2</v>
      </c>
      <c r="X5">
        <v>105.2</v>
      </c>
      <c r="Y5">
        <v>104.4</v>
      </c>
      <c r="Z5">
        <v>103.9</v>
      </c>
      <c r="AA5">
        <v>104</v>
      </c>
      <c r="AB5">
        <v>104.1</v>
      </c>
      <c r="AC5">
        <v>104.6</v>
      </c>
      <c r="AD5">
        <v>104.4</v>
      </c>
      <c r="AE5">
        <v>105.8</v>
      </c>
    </row>
    <row r="6" spans="1:31" x14ac:dyDescent="0.25">
      <c r="A6" t="s">
        <v>11</v>
      </c>
      <c r="B6">
        <v>2013</v>
      </c>
      <c r="C6" t="s">
        <v>13</v>
      </c>
      <c r="D6" t="str">
        <f t="shared" si="0"/>
        <v>2013FebruaryUrban</v>
      </c>
      <c r="E6">
        <v>112.9</v>
      </c>
      <c r="F6">
        <v>112.9</v>
      </c>
      <c r="G6">
        <v>116.9</v>
      </c>
      <c r="H6">
        <v>104</v>
      </c>
      <c r="I6">
        <v>103.5</v>
      </c>
      <c r="J6">
        <v>103.1</v>
      </c>
      <c r="K6">
        <v>104.9</v>
      </c>
      <c r="L6">
        <v>104.1</v>
      </c>
      <c r="M6">
        <v>103.8</v>
      </c>
      <c r="N6">
        <v>102.3</v>
      </c>
      <c r="O6">
        <v>106</v>
      </c>
      <c r="P6">
        <v>109</v>
      </c>
      <c r="Q6">
        <v>107.2</v>
      </c>
      <c r="R6">
        <v>106</v>
      </c>
      <c r="S6">
        <v>106.6</v>
      </c>
      <c r="T6">
        <v>105.5</v>
      </c>
      <c r="U6">
        <v>106.4</v>
      </c>
      <c r="V6">
        <v>100.4</v>
      </c>
      <c r="W6">
        <v>105.7</v>
      </c>
      <c r="X6">
        <v>105.2</v>
      </c>
      <c r="Y6">
        <v>104.7</v>
      </c>
      <c r="Z6">
        <v>104.4</v>
      </c>
      <c r="AA6">
        <v>103.3</v>
      </c>
      <c r="AB6">
        <v>103.7</v>
      </c>
      <c r="AC6">
        <v>104.3</v>
      </c>
      <c r="AD6">
        <v>104.3</v>
      </c>
      <c r="AE6">
        <v>104.7</v>
      </c>
    </row>
    <row r="7" spans="1:31" x14ac:dyDescent="0.25">
      <c r="A7" t="s">
        <v>12</v>
      </c>
      <c r="B7">
        <v>2013</v>
      </c>
      <c r="C7" t="s">
        <v>13</v>
      </c>
      <c r="D7" t="str">
        <f t="shared" si="0"/>
        <v>2013FebruaryRural+Urban</v>
      </c>
      <c r="E7">
        <v>110.4</v>
      </c>
      <c r="F7">
        <v>110.2</v>
      </c>
      <c r="G7">
        <v>112.8</v>
      </c>
      <c r="H7">
        <v>104.9</v>
      </c>
      <c r="I7">
        <v>105.5</v>
      </c>
      <c r="J7">
        <v>103.6</v>
      </c>
      <c r="K7">
        <v>103.2</v>
      </c>
      <c r="L7">
        <v>105.3</v>
      </c>
      <c r="M7">
        <v>105.1</v>
      </c>
      <c r="N7">
        <v>102.8</v>
      </c>
      <c r="O7">
        <v>105.5</v>
      </c>
      <c r="P7">
        <v>108.3</v>
      </c>
      <c r="Q7">
        <v>106.6</v>
      </c>
      <c r="R7">
        <v>105.7</v>
      </c>
      <c r="S7">
        <v>106.9</v>
      </c>
      <c r="T7">
        <v>106</v>
      </c>
      <c r="U7">
        <v>106.8</v>
      </c>
      <c r="V7">
        <v>100.4</v>
      </c>
      <c r="W7">
        <v>106</v>
      </c>
      <c r="X7">
        <v>105.2</v>
      </c>
      <c r="Y7">
        <v>104.5</v>
      </c>
      <c r="Z7">
        <v>104.2</v>
      </c>
      <c r="AA7">
        <v>103.6</v>
      </c>
      <c r="AB7">
        <v>103.9</v>
      </c>
      <c r="AC7">
        <v>104.5</v>
      </c>
      <c r="AD7">
        <v>104.4</v>
      </c>
      <c r="AE7">
        <v>105.3</v>
      </c>
    </row>
    <row r="8" spans="1:31" x14ac:dyDescent="0.25">
      <c r="A8" t="s">
        <v>9</v>
      </c>
      <c r="B8">
        <v>2013</v>
      </c>
      <c r="C8" t="s">
        <v>15</v>
      </c>
      <c r="D8" t="str">
        <f t="shared" si="0"/>
        <v>2013MarchRural</v>
      </c>
      <c r="E8">
        <v>110.2</v>
      </c>
      <c r="F8">
        <v>108.8</v>
      </c>
      <c r="G8">
        <v>109.9</v>
      </c>
      <c r="H8">
        <v>105.6</v>
      </c>
      <c r="I8">
        <v>106.2</v>
      </c>
      <c r="J8">
        <v>105.7</v>
      </c>
      <c r="K8">
        <v>101.4</v>
      </c>
      <c r="L8">
        <v>105.7</v>
      </c>
      <c r="M8">
        <v>105</v>
      </c>
      <c r="N8">
        <v>103.3</v>
      </c>
      <c r="O8">
        <v>105.6</v>
      </c>
      <c r="P8">
        <v>108.2</v>
      </c>
      <c r="Q8">
        <v>106.6</v>
      </c>
      <c r="R8">
        <v>106.5</v>
      </c>
      <c r="S8">
        <v>107.6</v>
      </c>
      <c r="T8">
        <v>106.8</v>
      </c>
      <c r="U8">
        <v>107.5</v>
      </c>
      <c r="V8" t="s">
        <v>26</v>
      </c>
      <c r="W8">
        <v>106.1</v>
      </c>
      <c r="X8">
        <v>105.6</v>
      </c>
      <c r="Y8">
        <v>104.7</v>
      </c>
      <c r="Z8">
        <v>104.6</v>
      </c>
      <c r="AA8">
        <v>104</v>
      </c>
      <c r="AB8">
        <v>104.3</v>
      </c>
      <c r="AC8">
        <v>104.3</v>
      </c>
      <c r="AD8">
        <v>104.6</v>
      </c>
      <c r="AE8">
        <v>106</v>
      </c>
    </row>
    <row r="9" spans="1:31" x14ac:dyDescent="0.25">
      <c r="A9" t="s">
        <v>11</v>
      </c>
      <c r="B9">
        <v>2013</v>
      </c>
      <c r="C9" t="s">
        <v>15</v>
      </c>
      <c r="D9" t="str">
        <f t="shared" si="0"/>
        <v>2013MarchUrban</v>
      </c>
      <c r="E9">
        <v>113.9</v>
      </c>
      <c r="F9">
        <v>111.4</v>
      </c>
      <c r="G9">
        <v>113.2</v>
      </c>
      <c r="H9">
        <v>104.3</v>
      </c>
      <c r="I9">
        <v>102.7</v>
      </c>
      <c r="J9">
        <v>104.9</v>
      </c>
      <c r="K9">
        <v>103.8</v>
      </c>
      <c r="L9">
        <v>103.5</v>
      </c>
      <c r="M9">
        <v>102.6</v>
      </c>
      <c r="N9">
        <v>102.4</v>
      </c>
      <c r="O9">
        <v>107</v>
      </c>
      <c r="P9">
        <v>109.8</v>
      </c>
      <c r="Q9">
        <v>107.3</v>
      </c>
      <c r="R9">
        <v>106.8</v>
      </c>
      <c r="S9">
        <v>107.2</v>
      </c>
      <c r="T9">
        <v>106</v>
      </c>
      <c r="U9">
        <v>107</v>
      </c>
      <c r="V9">
        <v>100.4</v>
      </c>
      <c r="W9">
        <v>106</v>
      </c>
      <c r="X9">
        <v>105.7</v>
      </c>
      <c r="Y9">
        <v>105.2</v>
      </c>
      <c r="Z9">
        <v>105.5</v>
      </c>
      <c r="AA9">
        <v>103.5</v>
      </c>
      <c r="AB9">
        <v>103.8</v>
      </c>
      <c r="AC9">
        <v>104.2</v>
      </c>
      <c r="AD9">
        <v>104.9</v>
      </c>
      <c r="AE9">
        <v>105</v>
      </c>
    </row>
    <row r="10" spans="1:31" x14ac:dyDescent="0.25">
      <c r="A10" t="s">
        <v>12</v>
      </c>
      <c r="B10">
        <v>2013</v>
      </c>
      <c r="C10" t="s">
        <v>15</v>
      </c>
      <c r="D10" t="str">
        <f t="shared" si="0"/>
        <v>2013MarchRural+Urban</v>
      </c>
      <c r="E10">
        <v>111.4</v>
      </c>
      <c r="F10">
        <v>109.7</v>
      </c>
      <c r="G10">
        <v>111.2</v>
      </c>
      <c r="H10">
        <v>105.1</v>
      </c>
      <c r="I10">
        <v>104.9</v>
      </c>
      <c r="J10">
        <v>105.3</v>
      </c>
      <c r="K10">
        <v>102.2</v>
      </c>
      <c r="L10">
        <v>105</v>
      </c>
      <c r="M10">
        <v>104.2</v>
      </c>
      <c r="N10">
        <v>103</v>
      </c>
      <c r="O10">
        <v>106.2</v>
      </c>
      <c r="P10">
        <v>108.9</v>
      </c>
      <c r="Q10">
        <v>106.9</v>
      </c>
      <c r="R10">
        <v>106.6</v>
      </c>
      <c r="S10">
        <v>107.4</v>
      </c>
      <c r="T10">
        <v>106.5</v>
      </c>
      <c r="U10">
        <v>107.3</v>
      </c>
      <c r="V10">
        <v>100.4</v>
      </c>
      <c r="W10">
        <v>106.1</v>
      </c>
      <c r="X10">
        <v>105.6</v>
      </c>
      <c r="Y10">
        <v>104.9</v>
      </c>
      <c r="Z10">
        <v>105.1</v>
      </c>
      <c r="AA10">
        <v>103.7</v>
      </c>
      <c r="AB10">
        <v>104</v>
      </c>
      <c r="AC10">
        <v>104.3</v>
      </c>
      <c r="AD10">
        <v>104.7</v>
      </c>
      <c r="AE10">
        <v>105.5</v>
      </c>
    </row>
    <row r="11" spans="1:31" x14ac:dyDescent="0.25">
      <c r="A11" t="s">
        <v>9</v>
      </c>
      <c r="B11">
        <v>2013</v>
      </c>
      <c r="C11" t="s">
        <v>16</v>
      </c>
      <c r="D11" t="str">
        <f t="shared" si="0"/>
        <v>2013AprilRural</v>
      </c>
      <c r="E11">
        <v>110.2</v>
      </c>
      <c r="F11">
        <v>109.5</v>
      </c>
      <c r="G11">
        <v>106.9</v>
      </c>
      <c r="H11">
        <v>106.3</v>
      </c>
      <c r="I11">
        <v>105.7</v>
      </c>
      <c r="J11">
        <v>108.3</v>
      </c>
      <c r="K11">
        <v>103.4</v>
      </c>
      <c r="L11">
        <v>105.7</v>
      </c>
      <c r="M11">
        <v>104.2</v>
      </c>
      <c r="N11">
        <v>103.2</v>
      </c>
      <c r="O11">
        <v>106.5</v>
      </c>
      <c r="P11">
        <v>108.8</v>
      </c>
      <c r="Q11">
        <v>107.1</v>
      </c>
      <c r="R11">
        <v>107.1</v>
      </c>
      <c r="S11">
        <v>108.1</v>
      </c>
      <c r="T11">
        <v>107.4</v>
      </c>
      <c r="U11">
        <v>108</v>
      </c>
      <c r="V11" t="s">
        <v>26</v>
      </c>
      <c r="W11">
        <v>106.5</v>
      </c>
      <c r="X11">
        <v>106.1</v>
      </c>
      <c r="Y11">
        <v>105.1</v>
      </c>
      <c r="Z11">
        <v>104.4</v>
      </c>
      <c r="AA11">
        <v>104.5</v>
      </c>
      <c r="AB11">
        <v>104.8</v>
      </c>
      <c r="AC11">
        <v>102.7</v>
      </c>
      <c r="AD11">
        <v>104.6</v>
      </c>
      <c r="AE11">
        <v>106.4</v>
      </c>
    </row>
    <row r="12" spans="1:31" x14ac:dyDescent="0.25">
      <c r="A12" t="s">
        <v>11</v>
      </c>
      <c r="B12">
        <v>2013</v>
      </c>
      <c r="C12" t="s">
        <v>16</v>
      </c>
      <c r="D12" t="str">
        <f t="shared" si="0"/>
        <v>2013AprilUrban</v>
      </c>
      <c r="E12">
        <v>114.6</v>
      </c>
      <c r="F12">
        <v>113.4</v>
      </c>
      <c r="G12">
        <v>106</v>
      </c>
      <c r="H12">
        <v>104.7</v>
      </c>
      <c r="I12">
        <v>102.1</v>
      </c>
      <c r="J12">
        <v>109.5</v>
      </c>
      <c r="K12">
        <v>109.7</v>
      </c>
      <c r="L12">
        <v>104.6</v>
      </c>
      <c r="M12">
        <v>102</v>
      </c>
      <c r="N12">
        <v>103.5</v>
      </c>
      <c r="O12">
        <v>108.2</v>
      </c>
      <c r="P12">
        <v>110.6</v>
      </c>
      <c r="Q12">
        <v>108.8</v>
      </c>
      <c r="R12">
        <v>108.5</v>
      </c>
      <c r="S12">
        <v>107.9</v>
      </c>
      <c r="T12">
        <v>106.4</v>
      </c>
      <c r="U12">
        <v>107.7</v>
      </c>
      <c r="V12">
        <v>100.5</v>
      </c>
      <c r="W12">
        <v>106.4</v>
      </c>
      <c r="X12">
        <v>106.5</v>
      </c>
      <c r="Y12">
        <v>105.7</v>
      </c>
      <c r="Z12">
        <v>105</v>
      </c>
      <c r="AA12">
        <v>104</v>
      </c>
      <c r="AB12">
        <v>105.2</v>
      </c>
      <c r="AC12">
        <v>103.2</v>
      </c>
      <c r="AD12">
        <v>105.1</v>
      </c>
      <c r="AE12">
        <v>105.7</v>
      </c>
    </row>
    <row r="13" spans="1:31" x14ac:dyDescent="0.25">
      <c r="A13" t="s">
        <v>12</v>
      </c>
      <c r="B13">
        <v>2013</v>
      </c>
      <c r="C13" t="s">
        <v>16</v>
      </c>
      <c r="D13" t="str">
        <f t="shared" si="0"/>
        <v>2013AprilRural+Urban</v>
      </c>
      <c r="E13">
        <v>111.6</v>
      </c>
      <c r="F13">
        <v>110.9</v>
      </c>
      <c r="G13">
        <v>106.6</v>
      </c>
      <c r="H13">
        <v>105.7</v>
      </c>
      <c r="I13">
        <v>104.4</v>
      </c>
      <c r="J13">
        <v>108.9</v>
      </c>
      <c r="K13">
        <v>105.5</v>
      </c>
      <c r="L13">
        <v>105.3</v>
      </c>
      <c r="M13">
        <v>103.5</v>
      </c>
      <c r="N13">
        <v>103.3</v>
      </c>
      <c r="O13">
        <v>107.2</v>
      </c>
      <c r="P13">
        <v>109.6</v>
      </c>
      <c r="Q13">
        <v>107.7</v>
      </c>
      <c r="R13">
        <v>107.5</v>
      </c>
      <c r="S13">
        <v>108</v>
      </c>
      <c r="T13">
        <v>107</v>
      </c>
      <c r="U13">
        <v>107.9</v>
      </c>
      <c r="V13">
        <v>100.5</v>
      </c>
      <c r="W13">
        <v>106.5</v>
      </c>
      <c r="X13">
        <v>106.3</v>
      </c>
      <c r="Y13">
        <v>105.3</v>
      </c>
      <c r="Z13">
        <v>104.7</v>
      </c>
      <c r="AA13">
        <v>104.2</v>
      </c>
      <c r="AB13">
        <v>105</v>
      </c>
      <c r="AC13">
        <v>102.9</v>
      </c>
      <c r="AD13">
        <v>104.8</v>
      </c>
      <c r="AE13">
        <v>106.1</v>
      </c>
    </row>
    <row r="14" spans="1:31" x14ac:dyDescent="0.25">
      <c r="A14" t="s">
        <v>9</v>
      </c>
      <c r="B14">
        <v>2013</v>
      </c>
      <c r="C14" t="s">
        <v>14</v>
      </c>
      <c r="D14" t="str">
        <f t="shared" si="0"/>
        <v>2013MayRural</v>
      </c>
      <c r="E14">
        <v>110.9</v>
      </c>
      <c r="F14">
        <v>109.8</v>
      </c>
      <c r="G14">
        <v>105.9</v>
      </c>
      <c r="H14">
        <v>107.5</v>
      </c>
      <c r="I14">
        <v>105.3</v>
      </c>
      <c r="J14">
        <v>108.1</v>
      </c>
      <c r="K14">
        <v>107.3</v>
      </c>
      <c r="L14">
        <v>106.1</v>
      </c>
      <c r="M14">
        <v>103.7</v>
      </c>
      <c r="N14">
        <v>104</v>
      </c>
      <c r="O14">
        <v>107.4</v>
      </c>
      <c r="P14">
        <v>109.9</v>
      </c>
      <c r="Q14">
        <v>108.1</v>
      </c>
      <c r="R14">
        <v>108.1</v>
      </c>
      <c r="S14">
        <v>108.8</v>
      </c>
      <c r="T14">
        <v>107.9</v>
      </c>
      <c r="U14">
        <v>108.6</v>
      </c>
      <c r="V14" t="s">
        <v>26</v>
      </c>
      <c r="W14">
        <v>107.5</v>
      </c>
      <c r="X14">
        <v>106.8</v>
      </c>
      <c r="Y14">
        <v>105.7</v>
      </c>
      <c r="Z14">
        <v>104.1</v>
      </c>
      <c r="AA14">
        <v>105</v>
      </c>
      <c r="AB14">
        <v>105.5</v>
      </c>
      <c r="AC14">
        <v>102.1</v>
      </c>
      <c r="AD14">
        <v>104.8</v>
      </c>
      <c r="AE14">
        <v>107.2</v>
      </c>
    </row>
    <row r="15" spans="1:31" x14ac:dyDescent="0.25">
      <c r="A15" t="s">
        <v>11</v>
      </c>
      <c r="B15">
        <v>2013</v>
      </c>
      <c r="C15" t="s">
        <v>14</v>
      </c>
      <c r="D15" t="str">
        <f t="shared" si="0"/>
        <v>2013MayUrban</v>
      </c>
      <c r="E15">
        <v>115.4</v>
      </c>
      <c r="F15">
        <v>114.2</v>
      </c>
      <c r="G15">
        <v>102.7</v>
      </c>
      <c r="H15">
        <v>105.5</v>
      </c>
      <c r="I15">
        <v>101.5</v>
      </c>
      <c r="J15">
        <v>110.6</v>
      </c>
      <c r="K15">
        <v>123.7</v>
      </c>
      <c r="L15">
        <v>105.2</v>
      </c>
      <c r="M15">
        <v>101.9</v>
      </c>
      <c r="N15">
        <v>105</v>
      </c>
      <c r="O15">
        <v>109.1</v>
      </c>
      <c r="P15">
        <v>111.3</v>
      </c>
      <c r="Q15">
        <v>111.1</v>
      </c>
      <c r="R15">
        <v>109.8</v>
      </c>
      <c r="S15">
        <v>108.5</v>
      </c>
      <c r="T15">
        <v>106.7</v>
      </c>
      <c r="U15">
        <v>108.3</v>
      </c>
      <c r="V15">
        <v>100.5</v>
      </c>
      <c r="W15">
        <v>107.2</v>
      </c>
      <c r="X15">
        <v>107.1</v>
      </c>
      <c r="Y15">
        <v>106.2</v>
      </c>
      <c r="Z15">
        <v>103.9</v>
      </c>
      <c r="AA15">
        <v>104.6</v>
      </c>
      <c r="AB15">
        <v>105.7</v>
      </c>
      <c r="AC15">
        <v>102.6</v>
      </c>
      <c r="AD15">
        <v>104.9</v>
      </c>
      <c r="AE15">
        <v>106.6</v>
      </c>
    </row>
    <row r="16" spans="1:31" x14ac:dyDescent="0.25">
      <c r="A16" t="s">
        <v>12</v>
      </c>
      <c r="B16">
        <v>2013</v>
      </c>
      <c r="C16" t="s">
        <v>14</v>
      </c>
      <c r="D16" t="str">
        <f t="shared" si="0"/>
        <v>2013MayRural+Urban</v>
      </c>
      <c r="E16">
        <v>112.3</v>
      </c>
      <c r="F16">
        <v>111.3</v>
      </c>
      <c r="G16">
        <v>104.7</v>
      </c>
      <c r="H16">
        <v>106.8</v>
      </c>
      <c r="I16">
        <v>103.9</v>
      </c>
      <c r="J16">
        <v>109.3</v>
      </c>
      <c r="K16">
        <v>112.9</v>
      </c>
      <c r="L16">
        <v>105.8</v>
      </c>
      <c r="M16">
        <v>103.1</v>
      </c>
      <c r="N16">
        <v>104.3</v>
      </c>
      <c r="O16">
        <v>108.1</v>
      </c>
      <c r="P16">
        <v>110.5</v>
      </c>
      <c r="Q16">
        <v>109.2</v>
      </c>
      <c r="R16">
        <v>108.6</v>
      </c>
      <c r="S16">
        <v>108.7</v>
      </c>
      <c r="T16">
        <v>107.4</v>
      </c>
      <c r="U16">
        <v>108.5</v>
      </c>
      <c r="V16">
        <v>100.5</v>
      </c>
      <c r="W16">
        <v>107.4</v>
      </c>
      <c r="X16">
        <v>106.9</v>
      </c>
      <c r="Y16">
        <v>105.9</v>
      </c>
      <c r="Z16">
        <v>104</v>
      </c>
      <c r="AA16">
        <v>104.8</v>
      </c>
      <c r="AB16">
        <v>105.6</v>
      </c>
      <c r="AC16">
        <v>102.3</v>
      </c>
      <c r="AD16">
        <v>104.8</v>
      </c>
      <c r="AE16">
        <v>106.9</v>
      </c>
    </row>
    <row r="17" spans="1:31" x14ac:dyDescent="0.25">
      <c r="A17" t="s">
        <v>9</v>
      </c>
      <c r="B17">
        <v>2013</v>
      </c>
      <c r="C17" t="s">
        <v>17</v>
      </c>
      <c r="D17" t="str">
        <f t="shared" si="0"/>
        <v>2013JuneRural</v>
      </c>
      <c r="E17">
        <v>112.3</v>
      </c>
      <c r="F17">
        <v>112.1</v>
      </c>
      <c r="G17">
        <v>108.1</v>
      </c>
      <c r="H17">
        <v>108.3</v>
      </c>
      <c r="I17">
        <v>105.9</v>
      </c>
      <c r="J17">
        <v>109.2</v>
      </c>
      <c r="K17">
        <v>118</v>
      </c>
      <c r="L17">
        <v>106.8</v>
      </c>
      <c r="M17">
        <v>104.1</v>
      </c>
      <c r="N17">
        <v>105.4</v>
      </c>
      <c r="O17">
        <v>108.2</v>
      </c>
      <c r="P17">
        <v>111</v>
      </c>
      <c r="Q17">
        <v>110.6</v>
      </c>
      <c r="R17">
        <v>109</v>
      </c>
      <c r="S17">
        <v>109.7</v>
      </c>
      <c r="T17">
        <v>108.8</v>
      </c>
      <c r="U17">
        <v>109.5</v>
      </c>
      <c r="V17" t="s">
        <v>26</v>
      </c>
      <c r="W17">
        <v>108.5</v>
      </c>
      <c r="X17">
        <v>107.5</v>
      </c>
      <c r="Y17">
        <v>106.3</v>
      </c>
      <c r="Z17">
        <v>105</v>
      </c>
      <c r="AA17">
        <v>105.6</v>
      </c>
      <c r="AB17">
        <v>106.5</v>
      </c>
      <c r="AC17">
        <v>102.5</v>
      </c>
      <c r="AD17">
        <v>105.5</v>
      </c>
      <c r="AE17">
        <v>108.9</v>
      </c>
    </row>
    <row r="18" spans="1:31" x14ac:dyDescent="0.25">
      <c r="A18" t="s">
        <v>11</v>
      </c>
      <c r="B18">
        <v>2013</v>
      </c>
      <c r="C18" t="s">
        <v>17</v>
      </c>
      <c r="D18" t="str">
        <f t="shared" si="0"/>
        <v>2013JuneUrban</v>
      </c>
      <c r="E18">
        <v>117</v>
      </c>
      <c r="F18">
        <v>120.1</v>
      </c>
      <c r="G18">
        <v>112.5</v>
      </c>
      <c r="H18">
        <v>107.3</v>
      </c>
      <c r="I18">
        <v>101.3</v>
      </c>
      <c r="J18">
        <v>112.4</v>
      </c>
      <c r="K18">
        <v>143.6</v>
      </c>
      <c r="L18">
        <v>105.4</v>
      </c>
      <c r="M18">
        <v>101.4</v>
      </c>
      <c r="N18">
        <v>106.4</v>
      </c>
      <c r="O18">
        <v>110</v>
      </c>
      <c r="P18">
        <v>112.2</v>
      </c>
      <c r="Q18">
        <v>115</v>
      </c>
      <c r="R18">
        <v>110.9</v>
      </c>
      <c r="S18">
        <v>109.2</v>
      </c>
      <c r="T18">
        <v>107.2</v>
      </c>
      <c r="U18">
        <v>108.9</v>
      </c>
      <c r="V18">
        <v>106.6</v>
      </c>
      <c r="W18">
        <v>108</v>
      </c>
      <c r="X18">
        <v>107.7</v>
      </c>
      <c r="Y18">
        <v>106.5</v>
      </c>
      <c r="Z18">
        <v>105.2</v>
      </c>
      <c r="AA18">
        <v>105.2</v>
      </c>
      <c r="AB18">
        <v>108.1</v>
      </c>
      <c r="AC18">
        <v>103.3</v>
      </c>
      <c r="AD18">
        <v>106.1</v>
      </c>
      <c r="AE18">
        <v>109.7</v>
      </c>
    </row>
    <row r="19" spans="1:31" x14ac:dyDescent="0.25">
      <c r="A19" t="s">
        <v>12</v>
      </c>
      <c r="B19">
        <v>2013</v>
      </c>
      <c r="C19" t="s">
        <v>17</v>
      </c>
      <c r="D19" t="str">
        <f t="shared" si="0"/>
        <v>2013JuneRural+Urban</v>
      </c>
      <c r="E19">
        <v>113.8</v>
      </c>
      <c r="F19">
        <v>114.9</v>
      </c>
      <c r="G19">
        <v>109.8</v>
      </c>
      <c r="H19">
        <v>107.9</v>
      </c>
      <c r="I19">
        <v>104.2</v>
      </c>
      <c r="J19">
        <v>110.7</v>
      </c>
      <c r="K19">
        <v>126.7</v>
      </c>
      <c r="L19">
        <v>106.3</v>
      </c>
      <c r="M19">
        <v>103.2</v>
      </c>
      <c r="N19">
        <v>105.7</v>
      </c>
      <c r="O19">
        <v>109</v>
      </c>
      <c r="P19">
        <v>111.6</v>
      </c>
      <c r="Q19">
        <v>112.2</v>
      </c>
      <c r="R19">
        <v>109.5</v>
      </c>
      <c r="S19">
        <v>109.5</v>
      </c>
      <c r="T19">
        <v>108.1</v>
      </c>
      <c r="U19">
        <v>109.3</v>
      </c>
      <c r="V19">
        <v>106.6</v>
      </c>
      <c r="W19">
        <v>108.3</v>
      </c>
      <c r="X19">
        <v>107.6</v>
      </c>
      <c r="Y19">
        <v>106.4</v>
      </c>
      <c r="Z19">
        <v>105.1</v>
      </c>
      <c r="AA19">
        <v>105.4</v>
      </c>
      <c r="AB19">
        <v>107.4</v>
      </c>
      <c r="AC19">
        <v>102.8</v>
      </c>
      <c r="AD19">
        <v>105.8</v>
      </c>
      <c r="AE19">
        <v>109.3</v>
      </c>
    </row>
    <row r="20" spans="1:31" x14ac:dyDescent="0.25">
      <c r="A20" t="s">
        <v>9</v>
      </c>
      <c r="B20">
        <v>2013</v>
      </c>
      <c r="C20" t="s">
        <v>18</v>
      </c>
      <c r="D20" t="str">
        <f t="shared" si="0"/>
        <v>2013JulyRural</v>
      </c>
      <c r="E20">
        <v>113.4</v>
      </c>
      <c r="F20">
        <v>114.9</v>
      </c>
      <c r="G20">
        <v>110.5</v>
      </c>
      <c r="H20">
        <v>109.3</v>
      </c>
      <c r="I20">
        <v>106.2</v>
      </c>
      <c r="J20">
        <v>110.3</v>
      </c>
      <c r="K20">
        <v>129.19999999999999</v>
      </c>
      <c r="L20">
        <v>107.1</v>
      </c>
      <c r="M20">
        <v>104.3</v>
      </c>
      <c r="N20">
        <v>106.4</v>
      </c>
      <c r="O20">
        <v>109.1</v>
      </c>
      <c r="P20">
        <v>112.1</v>
      </c>
      <c r="Q20">
        <v>113.1</v>
      </c>
      <c r="R20">
        <v>109.8</v>
      </c>
      <c r="S20">
        <v>110.5</v>
      </c>
      <c r="T20">
        <v>109.5</v>
      </c>
      <c r="U20">
        <v>110.3</v>
      </c>
      <c r="V20" t="s">
        <v>26</v>
      </c>
      <c r="W20">
        <v>109.5</v>
      </c>
      <c r="X20">
        <v>108.3</v>
      </c>
      <c r="Y20">
        <v>106.9</v>
      </c>
      <c r="Z20">
        <v>106.8</v>
      </c>
      <c r="AA20">
        <v>106.4</v>
      </c>
      <c r="AB20">
        <v>107.8</v>
      </c>
      <c r="AC20">
        <v>102.5</v>
      </c>
      <c r="AD20">
        <v>106.5</v>
      </c>
      <c r="AE20">
        <v>110.7</v>
      </c>
    </row>
    <row r="21" spans="1:31" x14ac:dyDescent="0.25">
      <c r="A21" t="s">
        <v>11</v>
      </c>
      <c r="B21">
        <v>2013</v>
      </c>
      <c r="C21" t="s">
        <v>18</v>
      </c>
      <c r="D21" t="str">
        <f t="shared" si="0"/>
        <v>2013JulyUrban</v>
      </c>
      <c r="E21">
        <v>117.8</v>
      </c>
      <c r="F21">
        <v>119.2</v>
      </c>
      <c r="G21">
        <v>114</v>
      </c>
      <c r="H21">
        <v>108.3</v>
      </c>
      <c r="I21">
        <v>101.1</v>
      </c>
      <c r="J21">
        <v>113.2</v>
      </c>
      <c r="K21">
        <v>160.9</v>
      </c>
      <c r="L21">
        <v>105.1</v>
      </c>
      <c r="M21">
        <v>101.3</v>
      </c>
      <c r="N21">
        <v>107.5</v>
      </c>
      <c r="O21">
        <v>110.4</v>
      </c>
      <c r="P21">
        <v>113.1</v>
      </c>
      <c r="Q21">
        <v>117.5</v>
      </c>
      <c r="R21">
        <v>111.7</v>
      </c>
      <c r="S21">
        <v>109.8</v>
      </c>
      <c r="T21">
        <v>107.8</v>
      </c>
      <c r="U21">
        <v>109.5</v>
      </c>
      <c r="V21">
        <v>107.7</v>
      </c>
      <c r="W21">
        <v>108.6</v>
      </c>
      <c r="X21">
        <v>108.1</v>
      </c>
      <c r="Y21">
        <v>107.1</v>
      </c>
      <c r="Z21">
        <v>107.3</v>
      </c>
      <c r="AA21">
        <v>105.9</v>
      </c>
      <c r="AB21">
        <v>110.1</v>
      </c>
      <c r="AC21">
        <v>103.2</v>
      </c>
      <c r="AD21">
        <v>107.3</v>
      </c>
      <c r="AE21">
        <v>111.4</v>
      </c>
    </row>
    <row r="22" spans="1:31" x14ac:dyDescent="0.25">
      <c r="A22" t="s">
        <v>12</v>
      </c>
      <c r="B22">
        <v>2013</v>
      </c>
      <c r="C22" t="s">
        <v>18</v>
      </c>
      <c r="D22" t="str">
        <f t="shared" si="0"/>
        <v>2013JulyRural+Urban</v>
      </c>
      <c r="E22">
        <v>114.8</v>
      </c>
      <c r="F22">
        <v>116.4</v>
      </c>
      <c r="G22">
        <v>111.9</v>
      </c>
      <c r="H22">
        <v>108.9</v>
      </c>
      <c r="I22">
        <v>104.3</v>
      </c>
      <c r="J22">
        <v>111.7</v>
      </c>
      <c r="K22">
        <v>140</v>
      </c>
      <c r="L22">
        <v>106.4</v>
      </c>
      <c r="M22">
        <v>103.3</v>
      </c>
      <c r="N22">
        <v>106.8</v>
      </c>
      <c r="O22">
        <v>109.6</v>
      </c>
      <c r="P22">
        <v>112.6</v>
      </c>
      <c r="Q22">
        <v>114.7</v>
      </c>
      <c r="R22">
        <v>110.3</v>
      </c>
      <c r="S22">
        <v>110.2</v>
      </c>
      <c r="T22">
        <v>108.8</v>
      </c>
      <c r="U22">
        <v>110</v>
      </c>
      <c r="V22">
        <v>107.7</v>
      </c>
      <c r="W22">
        <v>109.2</v>
      </c>
      <c r="X22">
        <v>108.2</v>
      </c>
      <c r="Y22">
        <v>107</v>
      </c>
      <c r="Z22">
        <v>107.1</v>
      </c>
      <c r="AA22">
        <v>106.1</v>
      </c>
      <c r="AB22">
        <v>109.1</v>
      </c>
      <c r="AC22">
        <v>102.8</v>
      </c>
      <c r="AD22">
        <v>106.9</v>
      </c>
      <c r="AE22">
        <v>111</v>
      </c>
    </row>
    <row r="23" spans="1:31" x14ac:dyDescent="0.25">
      <c r="A23" t="s">
        <v>9</v>
      </c>
      <c r="B23">
        <v>2013</v>
      </c>
      <c r="C23" t="s">
        <v>19</v>
      </c>
      <c r="D23" t="str">
        <f t="shared" si="0"/>
        <v>2013AugustRural</v>
      </c>
      <c r="E23">
        <v>114.3</v>
      </c>
      <c r="F23">
        <v>115.4</v>
      </c>
      <c r="G23">
        <v>111.1</v>
      </c>
      <c r="H23">
        <v>110</v>
      </c>
      <c r="I23">
        <v>106.4</v>
      </c>
      <c r="J23">
        <v>110.8</v>
      </c>
      <c r="K23">
        <v>138.9</v>
      </c>
      <c r="L23">
        <v>107.4</v>
      </c>
      <c r="M23">
        <v>104.1</v>
      </c>
      <c r="N23">
        <v>106.9</v>
      </c>
      <c r="O23">
        <v>109.7</v>
      </c>
      <c r="P23">
        <v>112.6</v>
      </c>
      <c r="Q23">
        <v>114.9</v>
      </c>
      <c r="R23">
        <v>110.7</v>
      </c>
      <c r="S23">
        <v>111.3</v>
      </c>
      <c r="T23">
        <v>110.2</v>
      </c>
      <c r="U23">
        <v>111.1</v>
      </c>
      <c r="V23" t="s">
        <v>26</v>
      </c>
      <c r="W23">
        <v>109.9</v>
      </c>
      <c r="X23">
        <v>108.7</v>
      </c>
      <c r="Y23">
        <v>107.5</v>
      </c>
      <c r="Z23">
        <v>107.8</v>
      </c>
      <c r="AA23">
        <v>106.8</v>
      </c>
      <c r="AB23">
        <v>108.7</v>
      </c>
      <c r="AC23">
        <v>105</v>
      </c>
      <c r="AD23">
        <v>107.5</v>
      </c>
      <c r="AE23">
        <v>112.1</v>
      </c>
    </row>
    <row r="24" spans="1:31" x14ac:dyDescent="0.25">
      <c r="A24" t="s">
        <v>11</v>
      </c>
      <c r="B24">
        <v>2013</v>
      </c>
      <c r="C24" t="s">
        <v>19</v>
      </c>
      <c r="D24" t="str">
        <f t="shared" si="0"/>
        <v>2013AugustUrban</v>
      </c>
      <c r="E24">
        <v>118.3</v>
      </c>
      <c r="F24">
        <v>120.4</v>
      </c>
      <c r="G24">
        <v>112.7</v>
      </c>
      <c r="H24">
        <v>108.9</v>
      </c>
      <c r="I24">
        <v>101.1</v>
      </c>
      <c r="J24">
        <v>108.7</v>
      </c>
      <c r="K24">
        <v>177</v>
      </c>
      <c r="L24">
        <v>104.7</v>
      </c>
      <c r="M24">
        <v>101</v>
      </c>
      <c r="N24">
        <v>108.5</v>
      </c>
      <c r="O24">
        <v>110.9</v>
      </c>
      <c r="P24">
        <v>114.3</v>
      </c>
      <c r="Q24">
        <v>119.6</v>
      </c>
      <c r="R24">
        <v>112.4</v>
      </c>
      <c r="S24">
        <v>110.6</v>
      </c>
      <c r="T24">
        <v>108.3</v>
      </c>
      <c r="U24">
        <v>110.2</v>
      </c>
      <c r="V24">
        <v>108.9</v>
      </c>
      <c r="W24">
        <v>109.3</v>
      </c>
      <c r="X24">
        <v>108.7</v>
      </c>
      <c r="Y24">
        <v>107.6</v>
      </c>
      <c r="Z24">
        <v>108.1</v>
      </c>
      <c r="AA24">
        <v>106.5</v>
      </c>
      <c r="AB24">
        <v>110.8</v>
      </c>
      <c r="AC24">
        <v>106</v>
      </c>
      <c r="AD24">
        <v>108.3</v>
      </c>
      <c r="AE24">
        <v>112.7</v>
      </c>
    </row>
    <row r="25" spans="1:31" x14ac:dyDescent="0.25">
      <c r="A25" t="s">
        <v>12</v>
      </c>
      <c r="B25">
        <v>2013</v>
      </c>
      <c r="C25" t="s">
        <v>19</v>
      </c>
      <c r="D25" t="str">
        <f t="shared" si="0"/>
        <v>2013AugustRural+Urban</v>
      </c>
      <c r="E25">
        <v>115.6</v>
      </c>
      <c r="F25">
        <v>117.2</v>
      </c>
      <c r="G25">
        <v>111.7</v>
      </c>
      <c r="H25">
        <v>109.6</v>
      </c>
      <c r="I25">
        <v>104.5</v>
      </c>
      <c r="J25">
        <v>109.8</v>
      </c>
      <c r="K25">
        <v>151.80000000000001</v>
      </c>
      <c r="L25">
        <v>106.5</v>
      </c>
      <c r="M25">
        <v>103.1</v>
      </c>
      <c r="N25">
        <v>107.4</v>
      </c>
      <c r="O25">
        <v>110.2</v>
      </c>
      <c r="P25">
        <v>113.4</v>
      </c>
      <c r="Q25">
        <v>116.6</v>
      </c>
      <c r="R25">
        <v>111.2</v>
      </c>
      <c r="S25">
        <v>111</v>
      </c>
      <c r="T25">
        <v>109.4</v>
      </c>
      <c r="U25">
        <v>110.7</v>
      </c>
      <c r="V25">
        <v>108.9</v>
      </c>
      <c r="W25">
        <v>109.7</v>
      </c>
      <c r="X25">
        <v>108.7</v>
      </c>
      <c r="Y25">
        <v>107.5</v>
      </c>
      <c r="Z25">
        <v>108</v>
      </c>
      <c r="AA25">
        <v>106.6</v>
      </c>
      <c r="AB25">
        <v>109.9</v>
      </c>
      <c r="AC25">
        <v>105.4</v>
      </c>
      <c r="AD25">
        <v>107.9</v>
      </c>
      <c r="AE25">
        <v>112.4</v>
      </c>
    </row>
    <row r="26" spans="1:31" x14ac:dyDescent="0.25">
      <c r="A26" t="s">
        <v>9</v>
      </c>
      <c r="B26">
        <v>2013</v>
      </c>
      <c r="C26" t="s">
        <v>20</v>
      </c>
      <c r="D26" t="str">
        <f t="shared" si="0"/>
        <v>2013SeptemberRural</v>
      </c>
      <c r="E26">
        <v>115.4</v>
      </c>
      <c r="F26">
        <v>115.7</v>
      </c>
      <c r="G26">
        <v>111.7</v>
      </c>
      <c r="H26">
        <v>111</v>
      </c>
      <c r="I26">
        <v>107.4</v>
      </c>
      <c r="J26">
        <v>110.9</v>
      </c>
      <c r="K26">
        <v>154</v>
      </c>
      <c r="L26">
        <v>108.1</v>
      </c>
      <c r="M26">
        <v>104.2</v>
      </c>
      <c r="N26">
        <v>107.9</v>
      </c>
      <c r="O26">
        <v>110.4</v>
      </c>
      <c r="P26">
        <v>114</v>
      </c>
      <c r="Q26">
        <v>117.8</v>
      </c>
      <c r="R26">
        <v>111.7</v>
      </c>
      <c r="S26">
        <v>112.7</v>
      </c>
      <c r="T26">
        <v>111.4</v>
      </c>
      <c r="U26">
        <v>112.5</v>
      </c>
      <c r="V26" t="s">
        <v>26</v>
      </c>
      <c r="W26">
        <v>111.1</v>
      </c>
      <c r="X26">
        <v>109.6</v>
      </c>
      <c r="Y26">
        <v>108.3</v>
      </c>
      <c r="Z26">
        <v>109.3</v>
      </c>
      <c r="AA26">
        <v>107.7</v>
      </c>
      <c r="AB26">
        <v>109.8</v>
      </c>
      <c r="AC26">
        <v>106.7</v>
      </c>
      <c r="AD26">
        <v>108.7</v>
      </c>
      <c r="AE26">
        <v>114.2</v>
      </c>
    </row>
    <row r="27" spans="1:31" x14ac:dyDescent="0.25">
      <c r="A27" t="s">
        <v>11</v>
      </c>
      <c r="B27">
        <v>2013</v>
      </c>
      <c r="C27" t="s">
        <v>20</v>
      </c>
      <c r="D27" t="str">
        <f t="shared" si="0"/>
        <v>2013SeptemberUrban</v>
      </c>
      <c r="E27">
        <v>118.6</v>
      </c>
      <c r="F27">
        <v>119.1</v>
      </c>
      <c r="G27">
        <v>113.2</v>
      </c>
      <c r="H27">
        <v>109.6</v>
      </c>
      <c r="I27">
        <v>101.7</v>
      </c>
      <c r="J27">
        <v>103.2</v>
      </c>
      <c r="K27">
        <v>174.3</v>
      </c>
      <c r="L27">
        <v>105.1</v>
      </c>
      <c r="M27">
        <v>100.8</v>
      </c>
      <c r="N27">
        <v>109.1</v>
      </c>
      <c r="O27">
        <v>111.1</v>
      </c>
      <c r="P27">
        <v>115.4</v>
      </c>
      <c r="Q27">
        <v>119.2</v>
      </c>
      <c r="R27">
        <v>112.9</v>
      </c>
      <c r="S27">
        <v>111.4</v>
      </c>
      <c r="T27">
        <v>109</v>
      </c>
      <c r="U27">
        <v>111.1</v>
      </c>
      <c r="V27">
        <v>109.7</v>
      </c>
      <c r="W27">
        <v>109.5</v>
      </c>
      <c r="X27">
        <v>109.6</v>
      </c>
      <c r="Y27">
        <v>107.9</v>
      </c>
      <c r="Z27">
        <v>110.4</v>
      </c>
      <c r="AA27">
        <v>107.4</v>
      </c>
      <c r="AB27">
        <v>111.2</v>
      </c>
      <c r="AC27">
        <v>106.9</v>
      </c>
      <c r="AD27">
        <v>109.4</v>
      </c>
      <c r="AE27">
        <v>113.2</v>
      </c>
    </row>
    <row r="28" spans="1:31" x14ac:dyDescent="0.25">
      <c r="A28" t="s">
        <v>12</v>
      </c>
      <c r="B28">
        <v>2013</v>
      </c>
      <c r="C28" t="s">
        <v>20</v>
      </c>
      <c r="D28" t="str">
        <f t="shared" si="0"/>
        <v>2013SeptemberRural+Urban</v>
      </c>
      <c r="E28">
        <v>116.4</v>
      </c>
      <c r="F28">
        <v>116.9</v>
      </c>
      <c r="G28">
        <v>112.3</v>
      </c>
      <c r="H28">
        <v>110.5</v>
      </c>
      <c r="I28">
        <v>105.3</v>
      </c>
      <c r="J28">
        <v>107.3</v>
      </c>
      <c r="K28">
        <v>160.9</v>
      </c>
      <c r="L28">
        <v>107.1</v>
      </c>
      <c r="M28">
        <v>103.1</v>
      </c>
      <c r="N28">
        <v>108.3</v>
      </c>
      <c r="O28">
        <v>110.7</v>
      </c>
      <c r="P28">
        <v>114.6</v>
      </c>
      <c r="Q28">
        <v>118.3</v>
      </c>
      <c r="R28">
        <v>112</v>
      </c>
      <c r="S28">
        <v>112.2</v>
      </c>
      <c r="T28">
        <v>110.4</v>
      </c>
      <c r="U28">
        <v>111.9</v>
      </c>
      <c r="V28">
        <v>109.7</v>
      </c>
      <c r="W28">
        <v>110.5</v>
      </c>
      <c r="X28">
        <v>109.6</v>
      </c>
      <c r="Y28">
        <v>108.1</v>
      </c>
      <c r="Z28">
        <v>109.9</v>
      </c>
      <c r="AA28">
        <v>107.5</v>
      </c>
      <c r="AB28">
        <v>110.6</v>
      </c>
      <c r="AC28">
        <v>106.8</v>
      </c>
      <c r="AD28">
        <v>109</v>
      </c>
      <c r="AE28">
        <v>113.7</v>
      </c>
    </row>
    <row r="29" spans="1:31" x14ac:dyDescent="0.25">
      <c r="A29" t="s">
        <v>9</v>
      </c>
      <c r="B29">
        <v>2013</v>
      </c>
      <c r="C29" t="s">
        <v>21</v>
      </c>
      <c r="D29" t="str">
        <f t="shared" si="0"/>
        <v>2013OctoberRural</v>
      </c>
      <c r="E29">
        <v>116.3</v>
      </c>
      <c r="F29">
        <v>115.4</v>
      </c>
      <c r="G29">
        <v>112.6</v>
      </c>
      <c r="H29">
        <v>111.7</v>
      </c>
      <c r="I29">
        <v>107.7</v>
      </c>
      <c r="J29">
        <v>113.2</v>
      </c>
      <c r="K29">
        <v>164.9</v>
      </c>
      <c r="L29">
        <v>108.3</v>
      </c>
      <c r="M29">
        <v>103.9</v>
      </c>
      <c r="N29">
        <v>108.2</v>
      </c>
      <c r="O29">
        <v>111.1</v>
      </c>
      <c r="P29">
        <v>114.9</v>
      </c>
      <c r="Q29">
        <v>119.8</v>
      </c>
      <c r="R29">
        <v>112.2</v>
      </c>
      <c r="S29">
        <v>113.6</v>
      </c>
      <c r="T29">
        <v>112.3</v>
      </c>
      <c r="U29">
        <v>113.4</v>
      </c>
      <c r="V29" t="s">
        <v>26</v>
      </c>
      <c r="W29">
        <v>111.6</v>
      </c>
      <c r="X29">
        <v>110.4</v>
      </c>
      <c r="Y29">
        <v>108.9</v>
      </c>
      <c r="Z29">
        <v>109.3</v>
      </c>
      <c r="AA29">
        <v>108.3</v>
      </c>
      <c r="AB29">
        <v>110.2</v>
      </c>
      <c r="AC29">
        <v>107.5</v>
      </c>
      <c r="AD29">
        <v>109.1</v>
      </c>
      <c r="AE29">
        <v>115.5</v>
      </c>
    </row>
    <row r="30" spans="1:31" x14ac:dyDescent="0.25">
      <c r="A30" t="s">
        <v>11</v>
      </c>
      <c r="B30">
        <v>2013</v>
      </c>
      <c r="C30" t="s">
        <v>21</v>
      </c>
      <c r="D30" t="str">
        <f t="shared" si="0"/>
        <v>2013OctoberUrban</v>
      </c>
      <c r="E30">
        <v>118.9</v>
      </c>
      <c r="F30">
        <v>118.1</v>
      </c>
      <c r="G30">
        <v>114.5</v>
      </c>
      <c r="H30">
        <v>110.4</v>
      </c>
      <c r="I30">
        <v>102.3</v>
      </c>
      <c r="J30">
        <v>106.2</v>
      </c>
      <c r="K30">
        <v>183.5</v>
      </c>
      <c r="L30">
        <v>105.3</v>
      </c>
      <c r="M30">
        <v>100.2</v>
      </c>
      <c r="N30">
        <v>109.6</v>
      </c>
      <c r="O30">
        <v>111.4</v>
      </c>
      <c r="P30">
        <v>116</v>
      </c>
      <c r="Q30">
        <v>120.8</v>
      </c>
      <c r="R30">
        <v>113.5</v>
      </c>
      <c r="S30">
        <v>112.5</v>
      </c>
      <c r="T30">
        <v>109.7</v>
      </c>
      <c r="U30">
        <v>112</v>
      </c>
      <c r="V30">
        <v>110.5</v>
      </c>
      <c r="W30">
        <v>109.7</v>
      </c>
      <c r="X30">
        <v>110.2</v>
      </c>
      <c r="Y30">
        <v>108.2</v>
      </c>
      <c r="Z30">
        <v>109.7</v>
      </c>
      <c r="AA30">
        <v>108</v>
      </c>
      <c r="AB30">
        <v>111.3</v>
      </c>
      <c r="AC30">
        <v>107.3</v>
      </c>
      <c r="AD30">
        <v>109.4</v>
      </c>
      <c r="AE30">
        <v>114</v>
      </c>
    </row>
    <row r="31" spans="1:31" x14ac:dyDescent="0.25">
      <c r="A31" t="s">
        <v>12</v>
      </c>
      <c r="B31">
        <v>2013</v>
      </c>
      <c r="C31" t="s">
        <v>21</v>
      </c>
      <c r="D31" t="str">
        <f t="shared" si="0"/>
        <v>2013OctoberRural+Urban</v>
      </c>
      <c r="E31">
        <v>117.1</v>
      </c>
      <c r="F31">
        <v>116.3</v>
      </c>
      <c r="G31">
        <v>113.3</v>
      </c>
      <c r="H31">
        <v>111.2</v>
      </c>
      <c r="I31">
        <v>105.7</v>
      </c>
      <c r="J31">
        <v>109.9</v>
      </c>
      <c r="K31">
        <v>171.2</v>
      </c>
      <c r="L31">
        <v>107.3</v>
      </c>
      <c r="M31">
        <v>102.7</v>
      </c>
      <c r="N31">
        <v>108.7</v>
      </c>
      <c r="O31">
        <v>111.2</v>
      </c>
      <c r="P31">
        <v>115.4</v>
      </c>
      <c r="Q31">
        <v>120.2</v>
      </c>
      <c r="R31">
        <v>112.5</v>
      </c>
      <c r="S31">
        <v>113.2</v>
      </c>
      <c r="T31">
        <v>111.2</v>
      </c>
      <c r="U31">
        <v>112.8</v>
      </c>
      <c r="V31">
        <v>110.5</v>
      </c>
      <c r="W31">
        <v>110.9</v>
      </c>
      <c r="X31">
        <v>110.3</v>
      </c>
      <c r="Y31">
        <v>108.6</v>
      </c>
      <c r="Z31">
        <v>109.5</v>
      </c>
      <c r="AA31">
        <v>108.1</v>
      </c>
      <c r="AB31">
        <v>110.8</v>
      </c>
      <c r="AC31">
        <v>107.4</v>
      </c>
      <c r="AD31">
        <v>109.2</v>
      </c>
      <c r="AE31">
        <v>114.8</v>
      </c>
    </row>
    <row r="32" spans="1:31" x14ac:dyDescent="0.25">
      <c r="A32" t="s">
        <v>9</v>
      </c>
      <c r="B32">
        <v>2013</v>
      </c>
      <c r="C32" t="s">
        <v>22</v>
      </c>
      <c r="D32" t="str">
        <f t="shared" si="0"/>
        <v>2013November Rural</v>
      </c>
      <c r="E32">
        <v>117.3</v>
      </c>
      <c r="F32">
        <v>114.9</v>
      </c>
      <c r="G32">
        <v>116.2</v>
      </c>
      <c r="H32">
        <v>112.8</v>
      </c>
      <c r="I32">
        <v>108.9</v>
      </c>
      <c r="J32">
        <v>116.6</v>
      </c>
      <c r="K32">
        <v>178.1</v>
      </c>
      <c r="L32">
        <v>109.1</v>
      </c>
      <c r="M32">
        <v>103.6</v>
      </c>
      <c r="N32">
        <v>109</v>
      </c>
      <c r="O32">
        <v>111.8</v>
      </c>
      <c r="P32">
        <v>116</v>
      </c>
      <c r="Q32">
        <v>122.5</v>
      </c>
      <c r="R32">
        <v>112.8</v>
      </c>
      <c r="S32">
        <v>114.6</v>
      </c>
      <c r="T32">
        <v>113.1</v>
      </c>
      <c r="U32">
        <v>114.4</v>
      </c>
      <c r="V32" t="s">
        <v>26</v>
      </c>
      <c r="W32">
        <v>112.6</v>
      </c>
      <c r="X32">
        <v>111.3</v>
      </c>
      <c r="Y32">
        <v>109.7</v>
      </c>
      <c r="Z32">
        <v>109.6</v>
      </c>
      <c r="AA32">
        <v>108.7</v>
      </c>
      <c r="AB32">
        <v>111</v>
      </c>
      <c r="AC32">
        <v>108.2</v>
      </c>
      <c r="AD32">
        <v>109.8</v>
      </c>
      <c r="AE32">
        <v>117.4</v>
      </c>
    </row>
    <row r="33" spans="1:31" x14ac:dyDescent="0.25">
      <c r="A33" t="s">
        <v>11</v>
      </c>
      <c r="B33">
        <v>2013</v>
      </c>
      <c r="C33" t="s">
        <v>23</v>
      </c>
      <c r="D33" t="str">
        <f t="shared" si="0"/>
        <v>2013NovemberUrban</v>
      </c>
      <c r="E33">
        <v>119.8</v>
      </c>
      <c r="F33">
        <v>116.3</v>
      </c>
      <c r="G33">
        <v>122.6</v>
      </c>
      <c r="H33">
        <v>112</v>
      </c>
      <c r="I33">
        <v>103.2</v>
      </c>
      <c r="J33">
        <v>110</v>
      </c>
      <c r="K33">
        <v>192.8</v>
      </c>
      <c r="L33">
        <v>106.3</v>
      </c>
      <c r="M33">
        <v>99.5</v>
      </c>
      <c r="N33">
        <v>110.3</v>
      </c>
      <c r="O33">
        <v>111.8</v>
      </c>
      <c r="P33">
        <v>117.1</v>
      </c>
      <c r="Q33">
        <v>122.9</v>
      </c>
      <c r="R33">
        <v>114.1</v>
      </c>
      <c r="S33">
        <v>113.5</v>
      </c>
      <c r="T33">
        <v>110.3</v>
      </c>
      <c r="U33">
        <v>113</v>
      </c>
      <c r="V33">
        <v>111.1</v>
      </c>
      <c r="W33">
        <v>110</v>
      </c>
      <c r="X33">
        <v>110.9</v>
      </c>
      <c r="Y33">
        <v>108.6</v>
      </c>
      <c r="Z33">
        <v>109.5</v>
      </c>
      <c r="AA33">
        <v>108.5</v>
      </c>
      <c r="AB33">
        <v>111.3</v>
      </c>
      <c r="AC33">
        <v>107.9</v>
      </c>
      <c r="AD33">
        <v>109.6</v>
      </c>
      <c r="AE33">
        <v>115</v>
      </c>
    </row>
    <row r="34" spans="1:31" x14ac:dyDescent="0.25">
      <c r="A34" t="s">
        <v>12</v>
      </c>
      <c r="B34">
        <v>2013</v>
      </c>
      <c r="C34" t="s">
        <v>23</v>
      </c>
      <c r="D34" t="str">
        <f t="shared" si="0"/>
        <v>2013NovemberRural+Urban</v>
      </c>
      <c r="E34">
        <v>118.1</v>
      </c>
      <c r="F34">
        <v>115.4</v>
      </c>
      <c r="G34">
        <v>118.7</v>
      </c>
      <c r="H34">
        <v>112.5</v>
      </c>
      <c r="I34">
        <v>106.8</v>
      </c>
      <c r="J34">
        <v>113.5</v>
      </c>
      <c r="K34">
        <v>183.1</v>
      </c>
      <c r="L34">
        <v>108.2</v>
      </c>
      <c r="M34">
        <v>102.2</v>
      </c>
      <c r="N34">
        <v>109.4</v>
      </c>
      <c r="O34">
        <v>111.8</v>
      </c>
      <c r="P34">
        <v>116.5</v>
      </c>
      <c r="Q34">
        <v>122.6</v>
      </c>
      <c r="R34">
        <v>113.1</v>
      </c>
      <c r="S34">
        <v>114.2</v>
      </c>
      <c r="T34">
        <v>111.9</v>
      </c>
      <c r="U34">
        <v>113.8</v>
      </c>
      <c r="V34">
        <v>111.1</v>
      </c>
      <c r="W34">
        <v>111.6</v>
      </c>
      <c r="X34">
        <v>111.1</v>
      </c>
      <c r="Y34">
        <v>109.3</v>
      </c>
      <c r="Z34">
        <v>109.5</v>
      </c>
      <c r="AA34">
        <v>108.6</v>
      </c>
      <c r="AB34">
        <v>111.2</v>
      </c>
      <c r="AC34">
        <v>108.1</v>
      </c>
      <c r="AD34">
        <v>109.7</v>
      </c>
      <c r="AE34">
        <v>116.3</v>
      </c>
    </row>
    <row r="35" spans="1:31" x14ac:dyDescent="0.25">
      <c r="A35" t="s">
        <v>9</v>
      </c>
      <c r="B35">
        <v>2013</v>
      </c>
      <c r="C35" t="s">
        <v>24</v>
      </c>
      <c r="D35" t="str">
        <f t="shared" si="0"/>
        <v>2013DecemberRural</v>
      </c>
      <c r="E35">
        <v>118.4</v>
      </c>
      <c r="F35">
        <v>115.9</v>
      </c>
      <c r="G35">
        <v>120.4</v>
      </c>
      <c r="H35">
        <v>113.8</v>
      </c>
      <c r="I35">
        <v>109.5</v>
      </c>
      <c r="J35">
        <v>115.5</v>
      </c>
      <c r="K35">
        <v>145.69999999999999</v>
      </c>
      <c r="L35">
        <v>109.5</v>
      </c>
      <c r="M35">
        <v>102.9</v>
      </c>
      <c r="N35">
        <v>109.8</v>
      </c>
      <c r="O35">
        <v>112.1</v>
      </c>
      <c r="P35">
        <v>116.8</v>
      </c>
      <c r="Q35">
        <v>118.7</v>
      </c>
      <c r="R35">
        <v>113.6</v>
      </c>
      <c r="S35">
        <v>115.8</v>
      </c>
      <c r="T35">
        <v>114</v>
      </c>
      <c r="U35">
        <v>115.5</v>
      </c>
      <c r="V35" t="s">
        <v>26</v>
      </c>
      <c r="W35">
        <v>112.8</v>
      </c>
      <c r="X35">
        <v>112.1</v>
      </c>
      <c r="Y35">
        <v>110.1</v>
      </c>
      <c r="Z35">
        <v>109.9</v>
      </c>
      <c r="AA35">
        <v>109.2</v>
      </c>
      <c r="AB35">
        <v>111.6</v>
      </c>
      <c r="AC35">
        <v>108.1</v>
      </c>
      <c r="AD35">
        <v>110.1</v>
      </c>
      <c r="AE35">
        <v>115.5</v>
      </c>
    </row>
    <row r="36" spans="1:31" x14ac:dyDescent="0.25">
      <c r="A36" t="s">
        <v>11</v>
      </c>
      <c r="B36">
        <v>2013</v>
      </c>
      <c r="C36" t="s">
        <v>24</v>
      </c>
      <c r="D36" t="str">
        <f t="shared" si="0"/>
        <v>2013DecemberUrban</v>
      </c>
      <c r="E36">
        <v>120.5</v>
      </c>
      <c r="F36">
        <v>118.1</v>
      </c>
      <c r="G36">
        <v>128.5</v>
      </c>
      <c r="H36">
        <v>112.8</v>
      </c>
      <c r="I36">
        <v>103.4</v>
      </c>
      <c r="J36">
        <v>110.7</v>
      </c>
      <c r="K36">
        <v>144.80000000000001</v>
      </c>
      <c r="L36">
        <v>107.1</v>
      </c>
      <c r="M36">
        <v>98.6</v>
      </c>
      <c r="N36">
        <v>111.9</v>
      </c>
      <c r="O36">
        <v>112.1</v>
      </c>
      <c r="P36">
        <v>118.1</v>
      </c>
      <c r="Q36">
        <v>117.8</v>
      </c>
      <c r="R36">
        <v>115</v>
      </c>
      <c r="S36">
        <v>114.2</v>
      </c>
      <c r="T36">
        <v>110.9</v>
      </c>
      <c r="U36">
        <v>113.7</v>
      </c>
      <c r="V36">
        <v>110.7</v>
      </c>
      <c r="W36">
        <v>110.4</v>
      </c>
      <c r="X36">
        <v>111.3</v>
      </c>
      <c r="Y36">
        <v>109</v>
      </c>
      <c r="Z36">
        <v>109.7</v>
      </c>
      <c r="AA36">
        <v>108.9</v>
      </c>
      <c r="AB36">
        <v>111.4</v>
      </c>
      <c r="AC36">
        <v>107.7</v>
      </c>
      <c r="AD36">
        <v>109.8</v>
      </c>
      <c r="AE36">
        <v>113.3</v>
      </c>
    </row>
    <row r="37" spans="1:31" x14ac:dyDescent="0.25">
      <c r="A37" t="s">
        <v>12</v>
      </c>
      <c r="B37">
        <v>2013</v>
      </c>
      <c r="C37" t="s">
        <v>24</v>
      </c>
      <c r="D37" t="str">
        <f t="shared" si="0"/>
        <v>2013DecemberRural+Urban</v>
      </c>
      <c r="E37">
        <v>119.1</v>
      </c>
      <c r="F37">
        <v>116.7</v>
      </c>
      <c r="G37">
        <v>123.5</v>
      </c>
      <c r="H37">
        <v>113.4</v>
      </c>
      <c r="I37">
        <v>107.3</v>
      </c>
      <c r="J37">
        <v>113.3</v>
      </c>
      <c r="K37">
        <v>145.4</v>
      </c>
      <c r="L37">
        <v>108.7</v>
      </c>
      <c r="M37">
        <v>101.5</v>
      </c>
      <c r="N37">
        <v>110.5</v>
      </c>
      <c r="O37">
        <v>112.1</v>
      </c>
      <c r="P37">
        <v>117.4</v>
      </c>
      <c r="Q37">
        <v>118.4</v>
      </c>
      <c r="R37">
        <v>114</v>
      </c>
      <c r="S37">
        <v>115.2</v>
      </c>
      <c r="T37">
        <v>112.7</v>
      </c>
      <c r="U37">
        <v>114.8</v>
      </c>
      <c r="V37">
        <v>110.7</v>
      </c>
      <c r="W37">
        <v>111.9</v>
      </c>
      <c r="X37">
        <v>111.7</v>
      </c>
      <c r="Y37">
        <v>109.7</v>
      </c>
      <c r="Z37">
        <v>109.8</v>
      </c>
      <c r="AA37">
        <v>109</v>
      </c>
      <c r="AB37">
        <v>111.5</v>
      </c>
      <c r="AC37">
        <v>107.9</v>
      </c>
      <c r="AD37">
        <v>110</v>
      </c>
      <c r="AE37">
        <v>114.5</v>
      </c>
    </row>
    <row r="38" spans="1:31" x14ac:dyDescent="0.25">
      <c r="A38" t="s">
        <v>9</v>
      </c>
      <c r="B38">
        <v>2014</v>
      </c>
      <c r="C38" t="s">
        <v>10</v>
      </c>
      <c r="D38" t="str">
        <f t="shared" si="0"/>
        <v>2014JanuaryRural</v>
      </c>
      <c r="E38">
        <v>118.9</v>
      </c>
      <c r="F38">
        <v>117.1</v>
      </c>
      <c r="G38">
        <v>120.5</v>
      </c>
      <c r="H38">
        <v>114.4</v>
      </c>
      <c r="I38">
        <v>109</v>
      </c>
      <c r="J38">
        <v>115.5</v>
      </c>
      <c r="K38">
        <v>123.9</v>
      </c>
      <c r="L38">
        <v>109.6</v>
      </c>
      <c r="M38">
        <v>101.8</v>
      </c>
      <c r="N38">
        <v>110.2</v>
      </c>
      <c r="O38">
        <v>112.4</v>
      </c>
      <c r="P38">
        <v>117.3</v>
      </c>
      <c r="Q38">
        <v>116</v>
      </c>
      <c r="R38">
        <v>114</v>
      </c>
      <c r="S38">
        <v>116.5</v>
      </c>
      <c r="T38">
        <v>114.5</v>
      </c>
      <c r="U38">
        <v>116.2</v>
      </c>
      <c r="V38" t="s">
        <v>26</v>
      </c>
      <c r="W38">
        <v>113</v>
      </c>
      <c r="X38">
        <v>112.6</v>
      </c>
      <c r="Y38">
        <v>110.6</v>
      </c>
      <c r="Z38">
        <v>110.5</v>
      </c>
      <c r="AA38">
        <v>109.6</v>
      </c>
      <c r="AB38">
        <v>111.8</v>
      </c>
      <c r="AC38">
        <v>108.3</v>
      </c>
      <c r="AD38">
        <v>110.6</v>
      </c>
      <c r="AE38">
        <v>114.2</v>
      </c>
    </row>
    <row r="39" spans="1:31" x14ac:dyDescent="0.25">
      <c r="A39" t="s">
        <v>11</v>
      </c>
      <c r="B39">
        <v>2014</v>
      </c>
      <c r="C39" t="s">
        <v>10</v>
      </c>
      <c r="D39" t="str">
        <f t="shared" si="0"/>
        <v>2014JanuaryUrban</v>
      </c>
      <c r="E39">
        <v>121.2</v>
      </c>
      <c r="F39">
        <v>122</v>
      </c>
      <c r="G39">
        <v>129.9</v>
      </c>
      <c r="H39">
        <v>113.6</v>
      </c>
      <c r="I39">
        <v>102.9</v>
      </c>
      <c r="J39">
        <v>112.1</v>
      </c>
      <c r="K39">
        <v>118.9</v>
      </c>
      <c r="L39">
        <v>107.5</v>
      </c>
      <c r="M39">
        <v>96.9</v>
      </c>
      <c r="N39">
        <v>112.7</v>
      </c>
      <c r="O39">
        <v>112.1</v>
      </c>
      <c r="P39">
        <v>119</v>
      </c>
      <c r="Q39">
        <v>115.5</v>
      </c>
      <c r="R39">
        <v>115.7</v>
      </c>
      <c r="S39">
        <v>114.8</v>
      </c>
      <c r="T39">
        <v>111.3</v>
      </c>
      <c r="U39">
        <v>114.3</v>
      </c>
      <c r="V39">
        <v>111.6</v>
      </c>
      <c r="W39">
        <v>111</v>
      </c>
      <c r="X39">
        <v>111.9</v>
      </c>
      <c r="Y39">
        <v>109.7</v>
      </c>
      <c r="Z39">
        <v>110.8</v>
      </c>
      <c r="AA39">
        <v>109.8</v>
      </c>
      <c r="AB39">
        <v>111.5</v>
      </c>
      <c r="AC39">
        <v>108</v>
      </c>
      <c r="AD39">
        <v>110.5</v>
      </c>
      <c r="AE39">
        <v>112.9</v>
      </c>
    </row>
    <row r="40" spans="1:31" x14ac:dyDescent="0.25">
      <c r="A40" t="s">
        <v>12</v>
      </c>
      <c r="B40">
        <v>2014</v>
      </c>
      <c r="C40" t="s">
        <v>10</v>
      </c>
      <c r="D40" t="str">
        <f t="shared" si="0"/>
        <v>2014JanuaryRural+Urban</v>
      </c>
      <c r="E40">
        <v>119.6</v>
      </c>
      <c r="F40">
        <v>118.8</v>
      </c>
      <c r="G40">
        <v>124.1</v>
      </c>
      <c r="H40">
        <v>114.1</v>
      </c>
      <c r="I40">
        <v>106.8</v>
      </c>
      <c r="J40">
        <v>113.9</v>
      </c>
      <c r="K40">
        <v>122.2</v>
      </c>
      <c r="L40">
        <v>108.9</v>
      </c>
      <c r="M40">
        <v>100.2</v>
      </c>
      <c r="N40">
        <v>111</v>
      </c>
      <c r="O40">
        <v>112.3</v>
      </c>
      <c r="P40">
        <v>118.1</v>
      </c>
      <c r="Q40">
        <v>115.8</v>
      </c>
      <c r="R40">
        <v>114.5</v>
      </c>
      <c r="S40">
        <v>115.8</v>
      </c>
      <c r="T40">
        <v>113.2</v>
      </c>
      <c r="U40">
        <v>115.4</v>
      </c>
      <c r="V40">
        <v>111.6</v>
      </c>
      <c r="W40">
        <v>112.2</v>
      </c>
      <c r="X40">
        <v>112.3</v>
      </c>
      <c r="Y40">
        <v>110.3</v>
      </c>
      <c r="Z40">
        <v>110.7</v>
      </c>
      <c r="AA40">
        <v>109.7</v>
      </c>
      <c r="AB40">
        <v>111.6</v>
      </c>
      <c r="AC40">
        <v>108.2</v>
      </c>
      <c r="AD40">
        <v>110.6</v>
      </c>
      <c r="AE40">
        <v>113.6</v>
      </c>
    </row>
    <row r="41" spans="1:31" x14ac:dyDescent="0.25">
      <c r="A41" t="s">
        <v>9</v>
      </c>
      <c r="B41">
        <v>2014</v>
      </c>
      <c r="C41" t="s">
        <v>13</v>
      </c>
      <c r="D41" t="str">
        <f t="shared" si="0"/>
        <v>2014FebruaryRural</v>
      </c>
      <c r="E41">
        <v>119.4</v>
      </c>
      <c r="F41">
        <v>117.7</v>
      </c>
      <c r="G41">
        <v>121.2</v>
      </c>
      <c r="H41">
        <v>115</v>
      </c>
      <c r="I41">
        <v>109</v>
      </c>
      <c r="J41">
        <v>116.6</v>
      </c>
      <c r="K41">
        <v>116</v>
      </c>
      <c r="L41">
        <v>109.8</v>
      </c>
      <c r="M41">
        <v>101.1</v>
      </c>
      <c r="N41">
        <v>110.4</v>
      </c>
      <c r="O41">
        <v>112.9</v>
      </c>
      <c r="P41">
        <v>117.8</v>
      </c>
      <c r="Q41">
        <v>115.3</v>
      </c>
      <c r="R41">
        <v>114.2</v>
      </c>
      <c r="S41">
        <v>117.1</v>
      </c>
      <c r="T41">
        <v>114.5</v>
      </c>
      <c r="U41">
        <v>116.7</v>
      </c>
      <c r="V41" t="s">
        <v>26</v>
      </c>
      <c r="W41">
        <v>113.2</v>
      </c>
      <c r="X41">
        <v>112.9</v>
      </c>
      <c r="Y41">
        <v>110.9</v>
      </c>
      <c r="Z41">
        <v>110.8</v>
      </c>
      <c r="AA41">
        <v>109.9</v>
      </c>
      <c r="AB41">
        <v>112</v>
      </c>
      <c r="AC41">
        <v>108.7</v>
      </c>
      <c r="AD41">
        <v>110.9</v>
      </c>
      <c r="AE41">
        <v>114</v>
      </c>
    </row>
    <row r="42" spans="1:31" x14ac:dyDescent="0.25">
      <c r="A42" t="s">
        <v>11</v>
      </c>
      <c r="B42">
        <v>2014</v>
      </c>
      <c r="C42" t="s">
        <v>13</v>
      </c>
      <c r="D42" t="str">
        <f t="shared" si="0"/>
        <v>2014FebruaryUrban</v>
      </c>
      <c r="E42">
        <v>121.9</v>
      </c>
      <c r="F42">
        <v>122</v>
      </c>
      <c r="G42">
        <v>124.5</v>
      </c>
      <c r="H42">
        <v>115.2</v>
      </c>
      <c r="I42">
        <v>102.5</v>
      </c>
      <c r="J42">
        <v>114.1</v>
      </c>
      <c r="K42">
        <v>111.5</v>
      </c>
      <c r="L42">
        <v>108.2</v>
      </c>
      <c r="M42">
        <v>95.4</v>
      </c>
      <c r="N42">
        <v>113.5</v>
      </c>
      <c r="O42">
        <v>112.1</v>
      </c>
      <c r="P42">
        <v>119.9</v>
      </c>
      <c r="Q42">
        <v>115.2</v>
      </c>
      <c r="R42">
        <v>116.2</v>
      </c>
      <c r="S42">
        <v>115.3</v>
      </c>
      <c r="T42">
        <v>111.7</v>
      </c>
      <c r="U42">
        <v>114.7</v>
      </c>
      <c r="V42">
        <v>112.5</v>
      </c>
      <c r="W42">
        <v>111.1</v>
      </c>
      <c r="X42">
        <v>112.6</v>
      </c>
      <c r="Y42">
        <v>110.4</v>
      </c>
      <c r="Z42">
        <v>111.3</v>
      </c>
      <c r="AA42">
        <v>110.3</v>
      </c>
      <c r="AB42">
        <v>111.6</v>
      </c>
      <c r="AC42">
        <v>108.7</v>
      </c>
      <c r="AD42">
        <v>111</v>
      </c>
      <c r="AE42">
        <v>113.1</v>
      </c>
    </row>
    <row r="43" spans="1:31" x14ac:dyDescent="0.25">
      <c r="A43" t="s">
        <v>12</v>
      </c>
      <c r="B43">
        <v>2014</v>
      </c>
      <c r="C43" t="s">
        <v>13</v>
      </c>
      <c r="D43" t="str">
        <f t="shared" si="0"/>
        <v>2014FebruaryRural+Urban</v>
      </c>
      <c r="E43">
        <v>120.2</v>
      </c>
      <c r="F43">
        <v>119.2</v>
      </c>
      <c r="G43">
        <v>122.5</v>
      </c>
      <c r="H43">
        <v>115.1</v>
      </c>
      <c r="I43">
        <v>106.6</v>
      </c>
      <c r="J43">
        <v>115.4</v>
      </c>
      <c r="K43">
        <v>114.5</v>
      </c>
      <c r="L43">
        <v>109.3</v>
      </c>
      <c r="M43">
        <v>99.2</v>
      </c>
      <c r="N43">
        <v>111.4</v>
      </c>
      <c r="O43">
        <v>112.6</v>
      </c>
      <c r="P43">
        <v>118.8</v>
      </c>
      <c r="Q43">
        <v>115.3</v>
      </c>
      <c r="R43">
        <v>114.7</v>
      </c>
      <c r="S43">
        <v>116.4</v>
      </c>
      <c r="T43">
        <v>113.3</v>
      </c>
      <c r="U43">
        <v>115.9</v>
      </c>
      <c r="V43">
        <v>112.5</v>
      </c>
      <c r="W43">
        <v>112.4</v>
      </c>
      <c r="X43">
        <v>112.8</v>
      </c>
      <c r="Y43">
        <v>110.7</v>
      </c>
      <c r="Z43">
        <v>111.1</v>
      </c>
      <c r="AA43">
        <v>110.1</v>
      </c>
      <c r="AB43">
        <v>111.8</v>
      </c>
      <c r="AC43">
        <v>108.7</v>
      </c>
      <c r="AD43">
        <v>110.9</v>
      </c>
      <c r="AE43">
        <v>113.6</v>
      </c>
    </row>
    <row r="44" spans="1:31" x14ac:dyDescent="0.25">
      <c r="A44" t="s">
        <v>9</v>
      </c>
      <c r="B44">
        <v>2014</v>
      </c>
      <c r="C44" t="s">
        <v>15</v>
      </c>
      <c r="D44" t="str">
        <f t="shared" si="0"/>
        <v>2014MarchRural</v>
      </c>
      <c r="E44">
        <v>120.1</v>
      </c>
      <c r="F44">
        <v>118.1</v>
      </c>
      <c r="G44">
        <v>120.7</v>
      </c>
      <c r="H44">
        <v>116.1</v>
      </c>
      <c r="I44">
        <v>109.3</v>
      </c>
      <c r="J44">
        <v>119.6</v>
      </c>
      <c r="K44">
        <v>117.9</v>
      </c>
      <c r="L44">
        <v>110.2</v>
      </c>
      <c r="M44">
        <v>101.2</v>
      </c>
      <c r="N44">
        <v>110.7</v>
      </c>
      <c r="O44">
        <v>113</v>
      </c>
      <c r="P44">
        <v>118.3</v>
      </c>
      <c r="Q44">
        <v>116.2</v>
      </c>
      <c r="R44">
        <v>114.6</v>
      </c>
      <c r="S44">
        <v>117.5</v>
      </c>
      <c r="T44">
        <v>114.9</v>
      </c>
      <c r="U44">
        <v>117.2</v>
      </c>
      <c r="V44" t="s">
        <v>26</v>
      </c>
      <c r="W44">
        <v>113.4</v>
      </c>
      <c r="X44">
        <v>113.4</v>
      </c>
      <c r="Y44">
        <v>111.4</v>
      </c>
      <c r="Z44">
        <v>111.2</v>
      </c>
      <c r="AA44">
        <v>110.2</v>
      </c>
      <c r="AB44">
        <v>112.4</v>
      </c>
      <c r="AC44">
        <v>108.9</v>
      </c>
      <c r="AD44">
        <v>111.3</v>
      </c>
      <c r="AE44">
        <v>114.6</v>
      </c>
    </row>
    <row r="45" spans="1:31" x14ac:dyDescent="0.25">
      <c r="A45" t="s">
        <v>11</v>
      </c>
      <c r="B45">
        <v>2014</v>
      </c>
      <c r="C45" t="s">
        <v>15</v>
      </c>
      <c r="D45" t="str">
        <f t="shared" si="0"/>
        <v>2014MarchUrban</v>
      </c>
      <c r="E45">
        <v>122.1</v>
      </c>
      <c r="F45">
        <v>121.4</v>
      </c>
      <c r="G45">
        <v>121.5</v>
      </c>
      <c r="H45">
        <v>116.2</v>
      </c>
      <c r="I45">
        <v>102.8</v>
      </c>
      <c r="J45">
        <v>117.7</v>
      </c>
      <c r="K45">
        <v>113.3</v>
      </c>
      <c r="L45">
        <v>108.9</v>
      </c>
      <c r="M45">
        <v>96.3</v>
      </c>
      <c r="N45">
        <v>114.1</v>
      </c>
      <c r="O45">
        <v>112.2</v>
      </c>
      <c r="P45">
        <v>120.5</v>
      </c>
      <c r="Q45">
        <v>116</v>
      </c>
      <c r="R45">
        <v>116.7</v>
      </c>
      <c r="S45">
        <v>115.8</v>
      </c>
      <c r="T45">
        <v>112.1</v>
      </c>
      <c r="U45">
        <v>115.2</v>
      </c>
      <c r="V45">
        <v>113.2</v>
      </c>
      <c r="W45">
        <v>110.9</v>
      </c>
      <c r="X45">
        <v>113</v>
      </c>
      <c r="Y45">
        <v>110.8</v>
      </c>
      <c r="Z45">
        <v>111.6</v>
      </c>
      <c r="AA45">
        <v>110.9</v>
      </c>
      <c r="AB45">
        <v>111.8</v>
      </c>
      <c r="AC45">
        <v>109.2</v>
      </c>
      <c r="AD45">
        <v>111.4</v>
      </c>
      <c r="AE45">
        <v>113.7</v>
      </c>
    </row>
    <row r="46" spans="1:31" x14ac:dyDescent="0.25">
      <c r="A46" t="s">
        <v>12</v>
      </c>
      <c r="B46">
        <v>2014</v>
      </c>
      <c r="C46" t="s">
        <v>25</v>
      </c>
      <c r="D46" t="str">
        <f t="shared" si="0"/>
        <v>2014MarcrhRural+Urban</v>
      </c>
      <c r="E46">
        <v>120.7</v>
      </c>
      <c r="F46">
        <v>119.3</v>
      </c>
      <c r="G46">
        <v>121</v>
      </c>
      <c r="H46">
        <v>116.1</v>
      </c>
      <c r="I46">
        <v>106.9</v>
      </c>
      <c r="J46">
        <v>118.7</v>
      </c>
      <c r="K46">
        <v>116.3</v>
      </c>
      <c r="L46">
        <v>109.8</v>
      </c>
      <c r="M46">
        <v>99.6</v>
      </c>
      <c r="N46">
        <v>111.8</v>
      </c>
      <c r="O46">
        <v>112.7</v>
      </c>
      <c r="P46">
        <v>119.3</v>
      </c>
      <c r="Q46">
        <v>116.1</v>
      </c>
      <c r="R46">
        <v>115.2</v>
      </c>
      <c r="S46">
        <v>116.8</v>
      </c>
      <c r="T46">
        <v>113.7</v>
      </c>
      <c r="U46">
        <v>116.4</v>
      </c>
      <c r="V46">
        <v>113.2</v>
      </c>
      <c r="W46">
        <v>112.5</v>
      </c>
      <c r="X46">
        <v>113.2</v>
      </c>
      <c r="Y46">
        <v>111.2</v>
      </c>
      <c r="Z46">
        <v>111.4</v>
      </c>
      <c r="AA46">
        <v>110.6</v>
      </c>
      <c r="AB46">
        <v>112</v>
      </c>
      <c r="AC46">
        <v>109</v>
      </c>
      <c r="AD46">
        <v>111.3</v>
      </c>
      <c r="AE46">
        <v>114.2</v>
      </c>
    </row>
    <row r="47" spans="1:31" x14ac:dyDescent="0.25">
      <c r="A47" t="s">
        <v>9</v>
      </c>
      <c r="B47">
        <v>2014</v>
      </c>
      <c r="C47" t="s">
        <v>16</v>
      </c>
      <c r="D47" t="str">
        <f t="shared" si="0"/>
        <v>2014AprilRural</v>
      </c>
      <c r="E47">
        <v>120.2</v>
      </c>
      <c r="F47">
        <v>118.9</v>
      </c>
      <c r="G47">
        <v>118.1</v>
      </c>
      <c r="H47">
        <v>117</v>
      </c>
      <c r="I47">
        <v>109.7</v>
      </c>
      <c r="J47">
        <v>125.5</v>
      </c>
      <c r="K47">
        <v>120.5</v>
      </c>
      <c r="L47">
        <v>111</v>
      </c>
      <c r="M47">
        <v>102.6</v>
      </c>
      <c r="N47">
        <v>111.2</v>
      </c>
      <c r="O47">
        <v>113.5</v>
      </c>
      <c r="P47">
        <v>118.7</v>
      </c>
      <c r="Q47">
        <v>117.2</v>
      </c>
      <c r="R47">
        <v>115.4</v>
      </c>
      <c r="S47">
        <v>118.1</v>
      </c>
      <c r="T47">
        <v>116.1</v>
      </c>
      <c r="U47">
        <v>117.8</v>
      </c>
      <c r="V47" t="s">
        <v>26</v>
      </c>
      <c r="W47">
        <v>113.4</v>
      </c>
      <c r="X47">
        <v>113.7</v>
      </c>
      <c r="Y47">
        <v>111.8</v>
      </c>
      <c r="Z47">
        <v>111.2</v>
      </c>
      <c r="AA47">
        <v>110.5</v>
      </c>
      <c r="AB47">
        <v>113</v>
      </c>
      <c r="AC47">
        <v>108.9</v>
      </c>
      <c r="AD47">
        <v>111.5</v>
      </c>
      <c r="AE47">
        <v>115.4</v>
      </c>
    </row>
    <row r="48" spans="1:31" x14ac:dyDescent="0.25">
      <c r="A48" t="s">
        <v>11</v>
      </c>
      <c r="B48">
        <v>2014</v>
      </c>
      <c r="C48" t="s">
        <v>16</v>
      </c>
      <c r="D48" t="str">
        <f t="shared" si="0"/>
        <v>2014AprilUrban</v>
      </c>
      <c r="E48">
        <v>122.5</v>
      </c>
      <c r="F48">
        <v>121.7</v>
      </c>
      <c r="G48">
        <v>113.3</v>
      </c>
      <c r="H48">
        <v>117</v>
      </c>
      <c r="I48">
        <v>103.1</v>
      </c>
      <c r="J48">
        <v>126.7</v>
      </c>
      <c r="K48">
        <v>121.2</v>
      </c>
      <c r="L48">
        <v>111</v>
      </c>
      <c r="M48">
        <v>100.3</v>
      </c>
      <c r="N48">
        <v>115.3</v>
      </c>
      <c r="O48">
        <v>112.7</v>
      </c>
      <c r="P48">
        <v>121</v>
      </c>
      <c r="Q48">
        <v>118.2</v>
      </c>
      <c r="R48">
        <v>117.6</v>
      </c>
      <c r="S48">
        <v>116.3</v>
      </c>
      <c r="T48">
        <v>112.5</v>
      </c>
      <c r="U48">
        <v>115.7</v>
      </c>
      <c r="V48">
        <v>113.9</v>
      </c>
      <c r="W48">
        <v>110.9</v>
      </c>
      <c r="X48">
        <v>113.4</v>
      </c>
      <c r="Y48">
        <v>111</v>
      </c>
      <c r="Z48">
        <v>111.2</v>
      </c>
      <c r="AA48">
        <v>111.2</v>
      </c>
      <c r="AB48">
        <v>112.5</v>
      </c>
      <c r="AC48">
        <v>109.1</v>
      </c>
      <c r="AD48">
        <v>111.4</v>
      </c>
      <c r="AE48">
        <v>114.7</v>
      </c>
    </row>
    <row r="49" spans="1:31" x14ac:dyDescent="0.25">
      <c r="A49" t="s">
        <v>12</v>
      </c>
      <c r="B49">
        <v>2014</v>
      </c>
      <c r="C49" t="s">
        <v>16</v>
      </c>
      <c r="D49" t="str">
        <f t="shared" si="0"/>
        <v>2014AprilRural+Urban</v>
      </c>
      <c r="E49">
        <v>120.9</v>
      </c>
      <c r="F49">
        <v>119.9</v>
      </c>
      <c r="G49">
        <v>116.2</v>
      </c>
      <c r="H49">
        <v>117</v>
      </c>
      <c r="I49">
        <v>107.3</v>
      </c>
      <c r="J49">
        <v>126.1</v>
      </c>
      <c r="K49">
        <v>120.7</v>
      </c>
      <c r="L49">
        <v>111</v>
      </c>
      <c r="M49">
        <v>101.8</v>
      </c>
      <c r="N49">
        <v>112.6</v>
      </c>
      <c r="O49">
        <v>113.2</v>
      </c>
      <c r="P49">
        <v>119.8</v>
      </c>
      <c r="Q49">
        <v>117.6</v>
      </c>
      <c r="R49">
        <v>116</v>
      </c>
      <c r="S49">
        <v>117.4</v>
      </c>
      <c r="T49">
        <v>114.6</v>
      </c>
      <c r="U49">
        <v>117</v>
      </c>
      <c r="V49">
        <v>113.9</v>
      </c>
      <c r="W49">
        <v>112.5</v>
      </c>
      <c r="X49">
        <v>113.6</v>
      </c>
      <c r="Y49">
        <v>111.5</v>
      </c>
      <c r="Z49">
        <v>111.2</v>
      </c>
      <c r="AA49">
        <v>110.9</v>
      </c>
      <c r="AB49">
        <v>112.7</v>
      </c>
      <c r="AC49">
        <v>109</v>
      </c>
      <c r="AD49">
        <v>111.5</v>
      </c>
      <c r="AE49">
        <v>115.1</v>
      </c>
    </row>
    <row r="50" spans="1:31" x14ac:dyDescent="0.25">
      <c r="A50" t="s">
        <v>9</v>
      </c>
      <c r="B50">
        <v>2014</v>
      </c>
      <c r="C50" t="s">
        <v>14</v>
      </c>
      <c r="D50" t="str">
        <f t="shared" si="0"/>
        <v>2014MayRural</v>
      </c>
      <c r="E50">
        <v>120.3</v>
      </c>
      <c r="F50">
        <v>120.2</v>
      </c>
      <c r="G50">
        <v>116.9</v>
      </c>
      <c r="H50">
        <v>118</v>
      </c>
      <c r="I50">
        <v>110.1</v>
      </c>
      <c r="J50">
        <v>126.3</v>
      </c>
      <c r="K50">
        <v>123.9</v>
      </c>
      <c r="L50">
        <v>111.5</v>
      </c>
      <c r="M50">
        <v>103.5</v>
      </c>
      <c r="N50">
        <v>111.6</v>
      </c>
      <c r="O50">
        <v>114.2</v>
      </c>
      <c r="P50">
        <v>119.2</v>
      </c>
      <c r="Q50">
        <v>118.2</v>
      </c>
      <c r="R50">
        <v>116.3</v>
      </c>
      <c r="S50">
        <v>118.7</v>
      </c>
      <c r="T50">
        <v>116.8</v>
      </c>
      <c r="U50">
        <v>118.5</v>
      </c>
      <c r="V50" t="s">
        <v>26</v>
      </c>
      <c r="W50">
        <v>113.4</v>
      </c>
      <c r="X50">
        <v>114.1</v>
      </c>
      <c r="Y50">
        <v>112.1</v>
      </c>
      <c r="Z50">
        <v>111.4</v>
      </c>
      <c r="AA50">
        <v>110.9</v>
      </c>
      <c r="AB50">
        <v>113.1</v>
      </c>
      <c r="AC50">
        <v>108.9</v>
      </c>
      <c r="AD50">
        <v>111.8</v>
      </c>
      <c r="AE50">
        <v>116</v>
      </c>
    </row>
    <row r="51" spans="1:31" x14ac:dyDescent="0.25">
      <c r="A51" t="s">
        <v>11</v>
      </c>
      <c r="B51">
        <v>2014</v>
      </c>
      <c r="C51" t="s">
        <v>14</v>
      </c>
      <c r="D51" t="str">
        <f t="shared" si="0"/>
        <v>2014MayUrban</v>
      </c>
      <c r="E51">
        <v>122.7</v>
      </c>
      <c r="F51">
        <v>124.1</v>
      </c>
      <c r="G51">
        <v>114.2</v>
      </c>
      <c r="H51">
        <v>119.1</v>
      </c>
      <c r="I51">
        <v>103.5</v>
      </c>
      <c r="J51">
        <v>129.19999999999999</v>
      </c>
      <c r="K51">
        <v>127</v>
      </c>
      <c r="L51">
        <v>112.6</v>
      </c>
      <c r="M51">
        <v>101.3</v>
      </c>
      <c r="N51">
        <v>117</v>
      </c>
      <c r="O51">
        <v>112.9</v>
      </c>
      <c r="P51">
        <v>121.7</v>
      </c>
      <c r="Q51">
        <v>120</v>
      </c>
      <c r="R51">
        <v>118.3</v>
      </c>
      <c r="S51">
        <v>116.8</v>
      </c>
      <c r="T51">
        <v>112.9</v>
      </c>
      <c r="U51">
        <v>116.2</v>
      </c>
      <c r="V51">
        <v>114.3</v>
      </c>
      <c r="W51">
        <v>111.1</v>
      </c>
      <c r="X51">
        <v>114.1</v>
      </c>
      <c r="Y51">
        <v>111.2</v>
      </c>
      <c r="Z51">
        <v>111.3</v>
      </c>
      <c r="AA51">
        <v>111.5</v>
      </c>
      <c r="AB51">
        <v>112.9</v>
      </c>
      <c r="AC51">
        <v>109.3</v>
      </c>
      <c r="AD51">
        <v>111.7</v>
      </c>
      <c r="AE51">
        <v>115.6</v>
      </c>
    </row>
    <row r="52" spans="1:31" x14ac:dyDescent="0.25">
      <c r="A52" t="s">
        <v>12</v>
      </c>
      <c r="B52">
        <v>2014</v>
      </c>
      <c r="C52" t="s">
        <v>14</v>
      </c>
      <c r="D52" t="str">
        <f t="shared" si="0"/>
        <v>2014MayRural+Urban</v>
      </c>
      <c r="E52">
        <v>121.1</v>
      </c>
      <c r="F52">
        <v>121.6</v>
      </c>
      <c r="G52">
        <v>115.9</v>
      </c>
      <c r="H52">
        <v>118.4</v>
      </c>
      <c r="I52">
        <v>107.7</v>
      </c>
      <c r="J52">
        <v>127.7</v>
      </c>
      <c r="K52">
        <v>125</v>
      </c>
      <c r="L52">
        <v>111.9</v>
      </c>
      <c r="M52">
        <v>102.8</v>
      </c>
      <c r="N52">
        <v>113.4</v>
      </c>
      <c r="O52">
        <v>113.7</v>
      </c>
      <c r="P52">
        <v>120.4</v>
      </c>
      <c r="Q52">
        <v>118.9</v>
      </c>
      <c r="R52">
        <v>116.8</v>
      </c>
      <c r="S52">
        <v>118</v>
      </c>
      <c r="T52">
        <v>115.2</v>
      </c>
      <c r="U52">
        <v>117.6</v>
      </c>
      <c r="V52">
        <v>114.3</v>
      </c>
      <c r="W52">
        <v>112.5</v>
      </c>
      <c r="X52">
        <v>114.1</v>
      </c>
      <c r="Y52">
        <v>111.8</v>
      </c>
      <c r="Z52">
        <v>111.3</v>
      </c>
      <c r="AA52">
        <v>111.2</v>
      </c>
      <c r="AB52">
        <v>113</v>
      </c>
      <c r="AC52">
        <v>109.1</v>
      </c>
      <c r="AD52">
        <v>111.8</v>
      </c>
      <c r="AE52">
        <v>115.8</v>
      </c>
    </row>
    <row r="53" spans="1:31" x14ac:dyDescent="0.25">
      <c r="A53" t="s">
        <v>9</v>
      </c>
      <c r="B53">
        <v>2014</v>
      </c>
      <c r="C53" t="s">
        <v>17</v>
      </c>
      <c r="D53" t="str">
        <f t="shared" si="0"/>
        <v>2014JuneRural</v>
      </c>
      <c r="E53">
        <v>120.7</v>
      </c>
      <c r="F53">
        <v>121.6</v>
      </c>
      <c r="G53">
        <v>116.1</v>
      </c>
      <c r="H53">
        <v>119.3</v>
      </c>
      <c r="I53">
        <v>110.3</v>
      </c>
      <c r="J53">
        <v>125.8</v>
      </c>
      <c r="K53">
        <v>129.30000000000001</v>
      </c>
      <c r="L53">
        <v>112.2</v>
      </c>
      <c r="M53">
        <v>103.6</v>
      </c>
      <c r="N53">
        <v>112.3</v>
      </c>
      <c r="O53">
        <v>114.9</v>
      </c>
      <c r="P53">
        <v>120.1</v>
      </c>
      <c r="Q53">
        <v>119.5</v>
      </c>
      <c r="R53">
        <v>117.3</v>
      </c>
      <c r="S53">
        <v>119.7</v>
      </c>
      <c r="T53">
        <v>117.3</v>
      </c>
      <c r="U53">
        <v>119.3</v>
      </c>
      <c r="V53" t="s">
        <v>26</v>
      </c>
      <c r="W53">
        <v>114.4</v>
      </c>
      <c r="X53">
        <v>114.9</v>
      </c>
      <c r="Y53">
        <v>112.8</v>
      </c>
      <c r="Z53">
        <v>112.2</v>
      </c>
      <c r="AA53">
        <v>111.4</v>
      </c>
      <c r="AB53">
        <v>114.3</v>
      </c>
      <c r="AC53">
        <v>108</v>
      </c>
      <c r="AD53">
        <v>112.3</v>
      </c>
      <c r="AE53">
        <v>117</v>
      </c>
    </row>
    <row r="54" spans="1:31" x14ac:dyDescent="0.25">
      <c r="A54" t="s">
        <v>11</v>
      </c>
      <c r="B54">
        <v>2014</v>
      </c>
      <c r="C54" t="s">
        <v>17</v>
      </c>
      <c r="D54" t="str">
        <f t="shared" si="0"/>
        <v>2014JuneUrban</v>
      </c>
      <c r="E54">
        <v>123.1</v>
      </c>
      <c r="F54">
        <v>125.9</v>
      </c>
      <c r="G54">
        <v>115.4</v>
      </c>
      <c r="H54">
        <v>120.4</v>
      </c>
      <c r="I54">
        <v>103.4</v>
      </c>
      <c r="J54">
        <v>131.19999999999999</v>
      </c>
      <c r="K54">
        <v>137.5</v>
      </c>
      <c r="L54">
        <v>112.8</v>
      </c>
      <c r="M54">
        <v>101.4</v>
      </c>
      <c r="N54">
        <v>118.3</v>
      </c>
      <c r="O54">
        <v>113.2</v>
      </c>
      <c r="P54">
        <v>122.4</v>
      </c>
      <c r="Q54">
        <v>122</v>
      </c>
      <c r="R54">
        <v>119</v>
      </c>
      <c r="S54">
        <v>117.4</v>
      </c>
      <c r="T54">
        <v>113.2</v>
      </c>
      <c r="U54">
        <v>116.7</v>
      </c>
      <c r="V54">
        <v>113.9</v>
      </c>
      <c r="W54">
        <v>111.2</v>
      </c>
      <c r="X54">
        <v>114.3</v>
      </c>
      <c r="Y54">
        <v>111.4</v>
      </c>
      <c r="Z54">
        <v>111.5</v>
      </c>
      <c r="AA54">
        <v>111.8</v>
      </c>
      <c r="AB54">
        <v>115.1</v>
      </c>
      <c r="AC54">
        <v>108.7</v>
      </c>
      <c r="AD54">
        <v>112.2</v>
      </c>
      <c r="AE54">
        <v>116.4</v>
      </c>
    </row>
    <row r="55" spans="1:31" x14ac:dyDescent="0.25">
      <c r="A55" t="s">
        <v>12</v>
      </c>
      <c r="B55">
        <v>2014</v>
      </c>
      <c r="C55" t="s">
        <v>17</v>
      </c>
      <c r="D55" t="str">
        <f t="shared" si="0"/>
        <v>2014JuneRural+Urban</v>
      </c>
      <c r="E55">
        <v>121.5</v>
      </c>
      <c r="F55">
        <v>123.1</v>
      </c>
      <c r="G55">
        <v>115.8</v>
      </c>
      <c r="H55">
        <v>119.7</v>
      </c>
      <c r="I55">
        <v>107.8</v>
      </c>
      <c r="J55">
        <v>128.30000000000001</v>
      </c>
      <c r="K55">
        <v>132.1</v>
      </c>
      <c r="L55">
        <v>112.4</v>
      </c>
      <c r="M55">
        <v>102.9</v>
      </c>
      <c r="N55">
        <v>114.3</v>
      </c>
      <c r="O55">
        <v>114.2</v>
      </c>
      <c r="P55">
        <v>121.2</v>
      </c>
      <c r="Q55">
        <v>120.4</v>
      </c>
      <c r="R55">
        <v>117.8</v>
      </c>
      <c r="S55">
        <v>118.8</v>
      </c>
      <c r="T55">
        <v>115.6</v>
      </c>
      <c r="U55">
        <v>118.3</v>
      </c>
      <c r="V55">
        <v>113.9</v>
      </c>
      <c r="W55">
        <v>113.2</v>
      </c>
      <c r="X55">
        <v>114.6</v>
      </c>
      <c r="Y55">
        <v>112.3</v>
      </c>
      <c r="Z55">
        <v>111.8</v>
      </c>
      <c r="AA55">
        <v>111.6</v>
      </c>
      <c r="AB55">
        <v>114.8</v>
      </c>
      <c r="AC55">
        <v>108.3</v>
      </c>
      <c r="AD55">
        <v>112.3</v>
      </c>
      <c r="AE55">
        <v>116.7</v>
      </c>
    </row>
    <row r="56" spans="1:31" x14ac:dyDescent="0.25">
      <c r="A56" t="s">
        <v>9</v>
      </c>
      <c r="B56">
        <v>2014</v>
      </c>
      <c r="C56" t="s">
        <v>18</v>
      </c>
      <c r="D56" t="str">
        <f t="shared" si="0"/>
        <v>2014JulyRural</v>
      </c>
      <c r="E56">
        <v>121.7</v>
      </c>
      <c r="F56">
        <v>122.5</v>
      </c>
      <c r="G56">
        <v>117.7</v>
      </c>
      <c r="H56">
        <v>120.6</v>
      </c>
      <c r="I56">
        <v>110.4</v>
      </c>
      <c r="J56">
        <v>129.1</v>
      </c>
      <c r="K56">
        <v>150.1</v>
      </c>
      <c r="L56">
        <v>113.2</v>
      </c>
      <c r="M56">
        <v>104.8</v>
      </c>
      <c r="N56">
        <v>113.3</v>
      </c>
      <c r="O56">
        <v>115.6</v>
      </c>
      <c r="P56">
        <v>120.9</v>
      </c>
      <c r="Q56">
        <v>123.3</v>
      </c>
      <c r="R56">
        <v>118</v>
      </c>
      <c r="S56">
        <v>120.7</v>
      </c>
      <c r="T56">
        <v>118.3</v>
      </c>
      <c r="U56">
        <v>120.3</v>
      </c>
      <c r="V56" t="s">
        <v>26</v>
      </c>
      <c r="W56">
        <v>115.3</v>
      </c>
      <c r="X56">
        <v>115.4</v>
      </c>
      <c r="Y56">
        <v>113.4</v>
      </c>
      <c r="Z56">
        <v>113.2</v>
      </c>
      <c r="AA56">
        <v>111.8</v>
      </c>
      <c r="AB56">
        <v>115.5</v>
      </c>
      <c r="AC56">
        <v>108.8</v>
      </c>
      <c r="AD56">
        <v>113.1</v>
      </c>
      <c r="AE56">
        <v>119.5</v>
      </c>
    </row>
    <row r="57" spans="1:31" x14ac:dyDescent="0.25">
      <c r="A57" t="s">
        <v>11</v>
      </c>
      <c r="B57">
        <v>2014</v>
      </c>
      <c r="C57" t="s">
        <v>18</v>
      </c>
      <c r="D57" t="str">
        <f t="shared" si="0"/>
        <v>2014JulyUrban</v>
      </c>
      <c r="E57">
        <v>123.8</v>
      </c>
      <c r="F57">
        <v>126.4</v>
      </c>
      <c r="G57">
        <v>118</v>
      </c>
      <c r="H57">
        <v>121.6</v>
      </c>
      <c r="I57">
        <v>103.5</v>
      </c>
      <c r="J57">
        <v>133.69999999999999</v>
      </c>
      <c r="K57">
        <v>172.4</v>
      </c>
      <c r="L57">
        <v>113.1</v>
      </c>
      <c r="M57">
        <v>102.7</v>
      </c>
      <c r="N57">
        <v>120</v>
      </c>
      <c r="O57">
        <v>113.8</v>
      </c>
      <c r="P57">
        <v>123.4</v>
      </c>
      <c r="Q57">
        <v>127.1</v>
      </c>
      <c r="R57">
        <v>121</v>
      </c>
      <c r="S57">
        <v>118</v>
      </c>
      <c r="T57">
        <v>113.6</v>
      </c>
      <c r="U57">
        <v>117.4</v>
      </c>
      <c r="V57">
        <v>114.8</v>
      </c>
      <c r="W57">
        <v>111.6</v>
      </c>
      <c r="X57">
        <v>114.9</v>
      </c>
      <c r="Y57">
        <v>111.5</v>
      </c>
      <c r="Z57">
        <v>113</v>
      </c>
      <c r="AA57">
        <v>112.4</v>
      </c>
      <c r="AB57">
        <v>117.8</v>
      </c>
      <c r="AC57">
        <v>109.7</v>
      </c>
      <c r="AD57">
        <v>113.5</v>
      </c>
      <c r="AE57">
        <v>118.9</v>
      </c>
    </row>
    <row r="58" spans="1:31" x14ac:dyDescent="0.25">
      <c r="A58" t="s">
        <v>12</v>
      </c>
      <c r="B58">
        <v>2014</v>
      </c>
      <c r="C58" t="s">
        <v>18</v>
      </c>
      <c r="D58" t="str">
        <f t="shared" si="0"/>
        <v>2014JulyRural+Urban</v>
      </c>
      <c r="E58">
        <v>122.4</v>
      </c>
      <c r="F58">
        <v>123.9</v>
      </c>
      <c r="G58">
        <v>117.8</v>
      </c>
      <c r="H58">
        <v>121</v>
      </c>
      <c r="I58">
        <v>107.9</v>
      </c>
      <c r="J58">
        <v>131.19999999999999</v>
      </c>
      <c r="K58">
        <v>157.69999999999999</v>
      </c>
      <c r="L58">
        <v>113.2</v>
      </c>
      <c r="M58">
        <v>104.1</v>
      </c>
      <c r="N58">
        <v>115.5</v>
      </c>
      <c r="O58">
        <v>114.8</v>
      </c>
      <c r="P58">
        <v>122.1</v>
      </c>
      <c r="Q58">
        <v>124.7</v>
      </c>
      <c r="R58">
        <v>118.8</v>
      </c>
      <c r="S58">
        <v>119.6</v>
      </c>
      <c r="T58">
        <v>116.3</v>
      </c>
      <c r="U58">
        <v>119.1</v>
      </c>
      <c r="V58">
        <v>114.8</v>
      </c>
      <c r="W58">
        <v>113.9</v>
      </c>
      <c r="X58">
        <v>115.2</v>
      </c>
      <c r="Y58">
        <v>112.7</v>
      </c>
      <c r="Z58">
        <v>113.1</v>
      </c>
      <c r="AA58">
        <v>112.1</v>
      </c>
      <c r="AB58">
        <v>116.8</v>
      </c>
      <c r="AC58">
        <v>109.2</v>
      </c>
      <c r="AD58">
        <v>113.3</v>
      </c>
      <c r="AE58">
        <v>119.2</v>
      </c>
    </row>
    <row r="59" spans="1:31" x14ac:dyDescent="0.25">
      <c r="A59" t="s">
        <v>9</v>
      </c>
      <c r="B59">
        <v>2014</v>
      </c>
      <c r="C59" t="s">
        <v>19</v>
      </c>
      <c r="D59" t="str">
        <f t="shared" si="0"/>
        <v>2014AugustRural</v>
      </c>
      <c r="E59">
        <v>121.8</v>
      </c>
      <c r="F59">
        <v>122.8</v>
      </c>
      <c r="G59">
        <v>117.8</v>
      </c>
      <c r="H59">
        <v>121.9</v>
      </c>
      <c r="I59">
        <v>110.6</v>
      </c>
      <c r="J59">
        <v>129.69999999999999</v>
      </c>
      <c r="K59">
        <v>161.1</v>
      </c>
      <c r="L59">
        <v>114.1</v>
      </c>
      <c r="M59">
        <v>105.1</v>
      </c>
      <c r="N59">
        <v>114.6</v>
      </c>
      <c r="O59">
        <v>115.8</v>
      </c>
      <c r="P59">
        <v>121.7</v>
      </c>
      <c r="Q59">
        <v>125.3</v>
      </c>
      <c r="R59">
        <v>118.8</v>
      </c>
      <c r="S59">
        <v>120.9</v>
      </c>
      <c r="T59">
        <v>118.8</v>
      </c>
      <c r="U59">
        <v>120.7</v>
      </c>
      <c r="V59" t="s">
        <v>26</v>
      </c>
      <c r="W59">
        <v>115.4</v>
      </c>
      <c r="X59">
        <v>115.9</v>
      </c>
      <c r="Y59">
        <v>114</v>
      </c>
      <c r="Z59">
        <v>113.2</v>
      </c>
      <c r="AA59">
        <v>112.2</v>
      </c>
      <c r="AB59">
        <v>116.2</v>
      </c>
      <c r="AC59">
        <v>109.4</v>
      </c>
      <c r="AD59">
        <v>113.5</v>
      </c>
      <c r="AE59">
        <v>120.7</v>
      </c>
    </row>
    <row r="60" spans="1:31" x14ac:dyDescent="0.25">
      <c r="A60" t="s">
        <v>11</v>
      </c>
      <c r="B60">
        <v>2014</v>
      </c>
      <c r="C60" t="s">
        <v>19</v>
      </c>
      <c r="D60" t="str">
        <f t="shared" si="0"/>
        <v>2014AugustUrban</v>
      </c>
      <c r="E60">
        <v>124.8</v>
      </c>
      <c r="F60">
        <v>127.3</v>
      </c>
      <c r="G60">
        <v>116.5</v>
      </c>
      <c r="H60">
        <v>122.2</v>
      </c>
      <c r="I60">
        <v>103.6</v>
      </c>
      <c r="J60">
        <v>132.69999999999999</v>
      </c>
      <c r="K60">
        <v>181.9</v>
      </c>
      <c r="L60">
        <v>115.2</v>
      </c>
      <c r="M60">
        <v>102.7</v>
      </c>
      <c r="N60">
        <v>122.1</v>
      </c>
      <c r="O60">
        <v>114.4</v>
      </c>
      <c r="P60">
        <v>124.7</v>
      </c>
      <c r="Q60">
        <v>128.9</v>
      </c>
      <c r="R60">
        <v>123</v>
      </c>
      <c r="S60">
        <v>118.6</v>
      </c>
      <c r="T60">
        <v>114.1</v>
      </c>
      <c r="U60">
        <v>117.9</v>
      </c>
      <c r="V60">
        <v>115.5</v>
      </c>
      <c r="W60">
        <v>111.8</v>
      </c>
      <c r="X60">
        <v>115.3</v>
      </c>
      <c r="Y60">
        <v>112.2</v>
      </c>
      <c r="Z60">
        <v>112.5</v>
      </c>
      <c r="AA60">
        <v>112.9</v>
      </c>
      <c r="AB60">
        <v>119.2</v>
      </c>
      <c r="AC60">
        <v>110.5</v>
      </c>
      <c r="AD60">
        <v>113.9</v>
      </c>
      <c r="AE60">
        <v>119.9</v>
      </c>
    </row>
    <row r="61" spans="1:31" x14ac:dyDescent="0.25">
      <c r="A61" t="s">
        <v>12</v>
      </c>
      <c r="B61">
        <v>2014</v>
      </c>
      <c r="C61" t="s">
        <v>19</v>
      </c>
      <c r="D61" t="str">
        <f t="shared" si="0"/>
        <v>2014AugustRural+Urban</v>
      </c>
      <c r="E61">
        <v>122.7</v>
      </c>
      <c r="F61">
        <v>124.4</v>
      </c>
      <c r="G61">
        <v>117.3</v>
      </c>
      <c r="H61">
        <v>122</v>
      </c>
      <c r="I61">
        <v>108</v>
      </c>
      <c r="J61">
        <v>131.1</v>
      </c>
      <c r="K61">
        <v>168.2</v>
      </c>
      <c r="L61">
        <v>114.5</v>
      </c>
      <c r="M61">
        <v>104.3</v>
      </c>
      <c r="N61">
        <v>117.1</v>
      </c>
      <c r="O61">
        <v>115.2</v>
      </c>
      <c r="P61">
        <v>123.1</v>
      </c>
      <c r="Q61">
        <v>126.6</v>
      </c>
      <c r="R61">
        <v>119.9</v>
      </c>
      <c r="S61">
        <v>120</v>
      </c>
      <c r="T61">
        <v>116.8</v>
      </c>
      <c r="U61">
        <v>119.6</v>
      </c>
      <c r="V61">
        <v>115.5</v>
      </c>
      <c r="W61">
        <v>114</v>
      </c>
      <c r="X61">
        <v>115.6</v>
      </c>
      <c r="Y61">
        <v>113.3</v>
      </c>
      <c r="Z61">
        <v>112.8</v>
      </c>
      <c r="AA61">
        <v>112.6</v>
      </c>
      <c r="AB61">
        <v>118</v>
      </c>
      <c r="AC61">
        <v>109.9</v>
      </c>
      <c r="AD61">
        <v>113.7</v>
      </c>
      <c r="AE61">
        <v>120.3</v>
      </c>
    </row>
    <row r="62" spans="1:31" x14ac:dyDescent="0.25">
      <c r="A62" t="s">
        <v>9</v>
      </c>
      <c r="B62">
        <v>2014</v>
      </c>
      <c r="C62" t="s">
        <v>20</v>
      </c>
      <c r="D62" t="str">
        <f t="shared" si="0"/>
        <v>2014SeptemberRural</v>
      </c>
      <c r="E62">
        <v>122.3</v>
      </c>
      <c r="F62">
        <v>122.4</v>
      </c>
      <c r="G62">
        <v>117.8</v>
      </c>
      <c r="H62">
        <v>122.7</v>
      </c>
      <c r="I62">
        <v>110.4</v>
      </c>
      <c r="J62">
        <v>129.80000000000001</v>
      </c>
      <c r="K62">
        <v>158.80000000000001</v>
      </c>
      <c r="L62">
        <v>115</v>
      </c>
      <c r="M62">
        <v>104.7</v>
      </c>
      <c r="N62">
        <v>114.9</v>
      </c>
      <c r="O62">
        <v>116.5</v>
      </c>
      <c r="P62">
        <v>122.6</v>
      </c>
      <c r="Q62">
        <v>125.3</v>
      </c>
      <c r="R62">
        <v>119.5</v>
      </c>
      <c r="S62">
        <v>121.7</v>
      </c>
      <c r="T62">
        <v>119.2</v>
      </c>
      <c r="U62">
        <v>121.3</v>
      </c>
      <c r="V62" t="s">
        <v>26</v>
      </c>
      <c r="W62">
        <v>115.8</v>
      </c>
      <c r="X62">
        <v>116.7</v>
      </c>
      <c r="Y62">
        <v>114.5</v>
      </c>
      <c r="Z62">
        <v>112.8</v>
      </c>
      <c r="AA62">
        <v>112.6</v>
      </c>
      <c r="AB62">
        <v>116.6</v>
      </c>
      <c r="AC62">
        <v>109.1</v>
      </c>
      <c r="AD62">
        <v>113.7</v>
      </c>
      <c r="AE62">
        <v>120.9</v>
      </c>
    </row>
    <row r="63" spans="1:31" x14ac:dyDescent="0.25">
      <c r="A63" t="s">
        <v>11</v>
      </c>
      <c r="B63">
        <v>2014</v>
      </c>
      <c r="C63" t="s">
        <v>20</v>
      </c>
      <c r="D63" t="str">
        <f t="shared" si="0"/>
        <v>2014SeptemberUrban</v>
      </c>
      <c r="E63">
        <v>124.2</v>
      </c>
      <c r="F63">
        <v>125.4</v>
      </c>
      <c r="G63">
        <v>116.4</v>
      </c>
      <c r="H63">
        <v>122.7</v>
      </c>
      <c r="I63">
        <v>103.5</v>
      </c>
      <c r="J63">
        <v>124.5</v>
      </c>
      <c r="K63">
        <v>168.6</v>
      </c>
      <c r="L63">
        <v>116.9</v>
      </c>
      <c r="M63">
        <v>101.9</v>
      </c>
      <c r="N63">
        <v>122.9</v>
      </c>
      <c r="O63">
        <v>114.8</v>
      </c>
      <c r="P63">
        <v>125.2</v>
      </c>
      <c r="Q63">
        <v>126.7</v>
      </c>
      <c r="R63">
        <v>124.3</v>
      </c>
      <c r="S63">
        <v>119.2</v>
      </c>
      <c r="T63">
        <v>114.5</v>
      </c>
      <c r="U63">
        <v>118.4</v>
      </c>
      <c r="V63">
        <v>116.1</v>
      </c>
      <c r="W63">
        <v>111.8</v>
      </c>
      <c r="X63">
        <v>115.5</v>
      </c>
      <c r="Y63">
        <v>112.3</v>
      </c>
      <c r="Z63">
        <v>111.2</v>
      </c>
      <c r="AA63">
        <v>113.4</v>
      </c>
      <c r="AB63">
        <v>120</v>
      </c>
      <c r="AC63">
        <v>110</v>
      </c>
      <c r="AD63">
        <v>113.6</v>
      </c>
      <c r="AE63">
        <v>119.2</v>
      </c>
    </row>
    <row r="64" spans="1:31" x14ac:dyDescent="0.25">
      <c r="A64" t="s">
        <v>12</v>
      </c>
      <c r="B64">
        <v>2014</v>
      </c>
      <c r="C64" t="s">
        <v>20</v>
      </c>
      <c r="D64" t="str">
        <f t="shared" si="0"/>
        <v>2014SeptemberRural+Urban</v>
      </c>
      <c r="E64">
        <v>122.9</v>
      </c>
      <c r="F64">
        <v>123.5</v>
      </c>
      <c r="G64">
        <v>117.3</v>
      </c>
      <c r="H64">
        <v>122.7</v>
      </c>
      <c r="I64">
        <v>107.9</v>
      </c>
      <c r="J64">
        <v>127.3</v>
      </c>
      <c r="K64">
        <v>162.1</v>
      </c>
      <c r="L64">
        <v>115.6</v>
      </c>
      <c r="M64">
        <v>103.8</v>
      </c>
      <c r="N64">
        <v>117.6</v>
      </c>
      <c r="O64">
        <v>115.8</v>
      </c>
      <c r="P64">
        <v>123.8</v>
      </c>
      <c r="Q64">
        <v>125.8</v>
      </c>
      <c r="R64">
        <v>120.8</v>
      </c>
      <c r="S64">
        <v>120.7</v>
      </c>
      <c r="T64">
        <v>117.2</v>
      </c>
      <c r="U64">
        <v>120.1</v>
      </c>
      <c r="V64">
        <v>116.1</v>
      </c>
      <c r="W64">
        <v>114.3</v>
      </c>
      <c r="X64">
        <v>116.1</v>
      </c>
      <c r="Y64">
        <v>113.7</v>
      </c>
      <c r="Z64">
        <v>112</v>
      </c>
      <c r="AA64">
        <v>113.1</v>
      </c>
      <c r="AB64">
        <v>118.6</v>
      </c>
      <c r="AC64">
        <v>109.5</v>
      </c>
      <c r="AD64">
        <v>113.7</v>
      </c>
      <c r="AE64">
        <v>120.1</v>
      </c>
    </row>
    <row r="65" spans="1:31" x14ac:dyDescent="0.25">
      <c r="A65" t="s">
        <v>9</v>
      </c>
      <c r="B65">
        <v>2014</v>
      </c>
      <c r="C65" t="s">
        <v>21</v>
      </c>
      <c r="D65" t="str">
        <f t="shared" si="0"/>
        <v>2014OctoberRural</v>
      </c>
      <c r="E65">
        <v>122.6</v>
      </c>
      <c r="F65">
        <v>122.5</v>
      </c>
      <c r="G65">
        <v>118.3</v>
      </c>
      <c r="H65">
        <v>123.2</v>
      </c>
      <c r="I65">
        <v>110.5</v>
      </c>
      <c r="J65">
        <v>128.9</v>
      </c>
      <c r="K65">
        <v>155.30000000000001</v>
      </c>
      <c r="L65">
        <v>115.5</v>
      </c>
      <c r="M65">
        <v>104</v>
      </c>
      <c r="N65">
        <v>115.3</v>
      </c>
      <c r="O65">
        <v>116.8</v>
      </c>
      <c r="P65">
        <v>123.2</v>
      </c>
      <c r="Q65">
        <v>125.1</v>
      </c>
      <c r="R65">
        <v>120</v>
      </c>
      <c r="S65">
        <v>122.7</v>
      </c>
      <c r="T65">
        <v>120.3</v>
      </c>
      <c r="U65">
        <v>122.3</v>
      </c>
      <c r="V65" t="s">
        <v>26</v>
      </c>
      <c r="W65">
        <v>116.4</v>
      </c>
      <c r="X65">
        <v>117.5</v>
      </c>
      <c r="Y65">
        <v>115.3</v>
      </c>
      <c r="Z65">
        <v>112.6</v>
      </c>
      <c r="AA65">
        <v>113</v>
      </c>
      <c r="AB65">
        <v>116.9</v>
      </c>
      <c r="AC65">
        <v>109.3</v>
      </c>
      <c r="AD65">
        <v>114</v>
      </c>
      <c r="AE65">
        <v>121</v>
      </c>
    </row>
    <row r="66" spans="1:31" x14ac:dyDescent="0.25">
      <c r="A66" t="s">
        <v>11</v>
      </c>
      <c r="B66">
        <v>2014</v>
      </c>
      <c r="C66" t="s">
        <v>21</v>
      </c>
      <c r="D66" t="str">
        <f t="shared" si="0"/>
        <v>2014OctoberUrban</v>
      </c>
      <c r="E66">
        <v>124.6</v>
      </c>
      <c r="F66">
        <v>126.1</v>
      </c>
      <c r="G66">
        <v>117.8</v>
      </c>
      <c r="H66">
        <v>123.1</v>
      </c>
      <c r="I66">
        <v>103.5</v>
      </c>
      <c r="J66">
        <v>123.5</v>
      </c>
      <c r="K66">
        <v>159.6</v>
      </c>
      <c r="L66">
        <v>117.4</v>
      </c>
      <c r="M66">
        <v>101.2</v>
      </c>
      <c r="N66">
        <v>123.8</v>
      </c>
      <c r="O66">
        <v>115.2</v>
      </c>
      <c r="P66">
        <v>125.9</v>
      </c>
      <c r="Q66">
        <v>125.8</v>
      </c>
      <c r="R66">
        <v>124.3</v>
      </c>
      <c r="S66">
        <v>119.6</v>
      </c>
      <c r="T66">
        <v>114.9</v>
      </c>
      <c r="U66">
        <v>118.9</v>
      </c>
      <c r="V66">
        <v>116.7</v>
      </c>
      <c r="W66">
        <v>112</v>
      </c>
      <c r="X66">
        <v>115.8</v>
      </c>
      <c r="Y66">
        <v>112.6</v>
      </c>
      <c r="Z66">
        <v>111</v>
      </c>
      <c r="AA66">
        <v>113.6</v>
      </c>
      <c r="AB66">
        <v>120.2</v>
      </c>
      <c r="AC66">
        <v>110.1</v>
      </c>
      <c r="AD66">
        <v>113.7</v>
      </c>
      <c r="AE66">
        <v>119.1</v>
      </c>
    </row>
    <row r="67" spans="1:31" x14ac:dyDescent="0.25">
      <c r="A67" t="s">
        <v>12</v>
      </c>
      <c r="B67">
        <v>2014</v>
      </c>
      <c r="C67" t="s">
        <v>21</v>
      </c>
      <c r="D67" t="str">
        <f t="shared" ref="D67:D130" si="1">B67&amp;C67&amp;A67</f>
        <v>2014OctoberRural+Urban</v>
      </c>
      <c r="E67">
        <v>123.2</v>
      </c>
      <c r="F67">
        <v>123.8</v>
      </c>
      <c r="G67">
        <v>118.1</v>
      </c>
      <c r="H67">
        <v>123.2</v>
      </c>
      <c r="I67">
        <v>107.9</v>
      </c>
      <c r="J67">
        <v>126.4</v>
      </c>
      <c r="K67">
        <v>156.80000000000001</v>
      </c>
      <c r="L67">
        <v>116.1</v>
      </c>
      <c r="M67">
        <v>103.1</v>
      </c>
      <c r="N67">
        <v>118.1</v>
      </c>
      <c r="O67">
        <v>116.1</v>
      </c>
      <c r="P67">
        <v>124.5</v>
      </c>
      <c r="Q67">
        <v>125.4</v>
      </c>
      <c r="R67">
        <v>121.1</v>
      </c>
      <c r="S67">
        <v>121.5</v>
      </c>
      <c r="T67">
        <v>118.1</v>
      </c>
      <c r="U67">
        <v>121</v>
      </c>
      <c r="V67">
        <v>116.7</v>
      </c>
      <c r="W67">
        <v>114.7</v>
      </c>
      <c r="X67">
        <v>116.7</v>
      </c>
      <c r="Y67">
        <v>114.3</v>
      </c>
      <c r="Z67">
        <v>111.8</v>
      </c>
      <c r="AA67">
        <v>113.3</v>
      </c>
      <c r="AB67">
        <v>118.8</v>
      </c>
      <c r="AC67">
        <v>109.6</v>
      </c>
      <c r="AD67">
        <v>113.9</v>
      </c>
      <c r="AE67">
        <v>120.1</v>
      </c>
    </row>
    <row r="68" spans="1:31" x14ac:dyDescent="0.25">
      <c r="A68" t="s">
        <v>9</v>
      </c>
      <c r="B68">
        <v>2014</v>
      </c>
      <c r="C68" t="s">
        <v>23</v>
      </c>
      <c r="D68" t="str">
        <f t="shared" si="1"/>
        <v>2014NovemberRural</v>
      </c>
      <c r="E68">
        <v>122.7</v>
      </c>
      <c r="F68">
        <v>122.6</v>
      </c>
      <c r="G68">
        <v>119.9</v>
      </c>
      <c r="H68">
        <v>124</v>
      </c>
      <c r="I68">
        <v>110.5</v>
      </c>
      <c r="J68">
        <v>128.80000000000001</v>
      </c>
      <c r="K68">
        <v>152</v>
      </c>
      <c r="L68">
        <v>116.2</v>
      </c>
      <c r="M68">
        <v>103.3</v>
      </c>
      <c r="N68">
        <v>115.8</v>
      </c>
      <c r="O68">
        <v>116.8</v>
      </c>
      <c r="P68">
        <v>124.5</v>
      </c>
      <c r="Q68">
        <v>124.9</v>
      </c>
      <c r="R68">
        <v>120.8</v>
      </c>
      <c r="S68">
        <v>123.3</v>
      </c>
      <c r="T68">
        <v>120.5</v>
      </c>
      <c r="U68">
        <v>122.9</v>
      </c>
      <c r="V68" t="s">
        <v>26</v>
      </c>
      <c r="W68">
        <v>117.3</v>
      </c>
      <c r="X68">
        <v>118.1</v>
      </c>
      <c r="Y68">
        <v>115.9</v>
      </c>
      <c r="Z68">
        <v>112</v>
      </c>
      <c r="AA68">
        <v>113.3</v>
      </c>
      <c r="AB68">
        <v>117.2</v>
      </c>
      <c r="AC68">
        <v>108.8</v>
      </c>
      <c r="AD68">
        <v>114.1</v>
      </c>
      <c r="AE68">
        <v>121.1</v>
      </c>
    </row>
    <row r="69" spans="1:31" x14ac:dyDescent="0.25">
      <c r="A69" t="s">
        <v>11</v>
      </c>
      <c r="B69">
        <v>2014</v>
      </c>
      <c r="C69" t="s">
        <v>23</v>
      </c>
      <c r="D69" t="str">
        <f t="shared" si="1"/>
        <v>2014NovemberUrban</v>
      </c>
      <c r="E69">
        <v>124.5</v>
      </c>
      <c r="F69">
        <v>125.6</v>
      </c>
      <c r="G69">
        <v>122.7</v>
      </c>
      <c r="H69">
        <v>124.6</v>
      </c>
      <c r="I69">
        <v>103.2</v>
      </c>
      <c r="J69">
        <v>122.2</v>
      </c>
      <c r="K69">
        <v>153.19999999999999</v>
      </c>
      <c r="L69">
        <v>119.3</v>
      </c>
      <c r="M69">
        <v>99.8</v>
      </c>
      <c r="N69">
        <v>124.6</v>
      </c>
      <c r="O69">
        <v>115.8</v>
      </c>
      <c r="P69">
        <v>126.9</v>
      </c>
      <c r="Q69">
        <v>125.4</v>
      </c>
      <c r="R69">
        <v>125.8</v>
      </c>
      <c r="S69">
        <v>120.3</v>
      </c>
      <c r="T69">
        <v>115.4</v>
      </c>
      <c r="U69">
        <v>119.5</v>
      </c>
      <c r="V69">
        <v>117.1</v>
      </c>
      <c r="W69">
        <v>112.6</v>
      </c>
      <c r="X69">
        <v>116.4</v>
      </c>
      <c r="Y69">
        <v>113</v>
      </c>
      <c r="Z69">
        <v>109.7</v>
      </c>
      <c r="AA69">
        <v>114</v>
      </c>
      <c r="AB69">
        <v>120.3</v>
      </c>
      <c r="AC69">
        <v>109.6</v>
      </c>
      <c r="AD69">
        <v>113.4</v>
      </c>
      <c r="AE69">
        <v>119</v>
      </c>
    </row>
    <row r="70" spans="1:31" x14ac:dyDescent="0.25">
      <c r="A70" t="s">
        <v>12</v>
      </c>
      <c r="B70">
        <v>2014</v>
      </c>
      <c r="C70" t="s">
        <v>23</v>
      </c>
      <c r="D70" t="str">
        <f t="shared" si="1"/>
        <v>2014NovemberRural+Urban</v>
      </c>
      <c r="E70">
        <v>123.3</v>
      </c>
      <c r="F70">
        <v>123.7</v>
      </c>
      <c r="G70">
        <v>121</v>
      </c>
      <c r="H70">
        <v>124.2</v>
      </c>
      <c r="I70">
        <v>107.8</v>
      </c>
      <c r="J70">
        <v>125.7</v>
      </c>
      <c r="K70">
        <v>152.4</v>
      </c>
      <c r="L70">
        <v>117.2</v>
      </c>
      <c r="M70">
        <v>102.1</v>
      </c>
      <c r="N70">
        <v>118.7</v>
      </c>
      <c r="O70">
        <v>116.4</v>
      </c>
      <c r="P70">
        <v>125.6</v>
      </c>
      <c r="Q70">
        <v>125.1</v>
      </c>
      <c r="R70">
        <v>122.1</v>
      </c>
      <c r="S70">
        <v>122.1</v>
      </c>
      <c r="T70">
        <v>118.4</v>
      </c>
      <c r="U70">
        <v>121.6</v>
      </c>
      <c r="V70">
        <v>117.1</v>
      </c>
      <c r="W70">
        <v>115.5</v>
      </c>
      <c r="X70">
        <v>117.3</v>
      </c>
      <c r="Y70">
        <v>114.8</v>
      </c>
      <c r="Z70">
        <v>110.8</v>
      </c>
      <c r="AA70">
        <v>113.7</v>
      </c>
      <c r="AB70">
        <v>119</v>
      </c>
      <c r="AC70">
        <v>109.1</v>
      </c>
      <c r="AD70">
        <v>113.8</v>
      </c>
      <c r="AE70">
        <v>120.1</v>
      </c>
    </row>
    <row r="71" spans="1:31" x14ac:dyDescent="0.25">
      <c r="A71" t="s">
        <v>9</v>
      </c>
      <c r="B71">
        <v>2014</v>
      </c>
      <c r="C71" t="s">
        <v>24</v>
      </c>
      <c r="D71" t="str">
        <f t="shared" si="1"/>
        <v>2014DecemberRural</v>
      </c>
      <c r="E71">
        <v>122.4</v>
      </c>
      <c r="F71">
        <v>122.4</v>
      </c>
      <c r="G71">
        <v>121.8</v>
      </c>
      <c r="H71">
        <v>124.2</v>
      </c>
      <c r="I71">
        <v>110.2</v>
      </c>
      <c r="J71">
        <v>128.6</v>
      </c>
      <c r="K71">
        <v>140.30000000000001</v>
      </c>
      <c r="L71">
        <v>116.3</v>
      </c>
      <c r="M71">
        <v>102</v>
      </c>
      <c r="N71">
        <v>116</v>
      </c>
      <c r="O71">
        <v>117.3</v>
      </c>
      <c r="P71">
        <v>124.8</v>
      </c>
      <c r="Q71">
        <v>123.3</v>
      </c>
      <c r="R71">
        <v>121.7</v>
      </c>
      <c r="S71">
        <v>123.8</v>
      </c>
      <c r="T71">
        <v>120.6</v>
      </c>
      <c r="U71">
        <v>123.3</v>
      </c>
      <c r="V71" t="s">
        <v>26</v>
      </c>
      <c r="W71">
        <v>117.4</v>
      </c>
      <c r="X71">
        <v>118.2</v>
      </c>
      <c r="Y71">
        <v>116.2</v>
      </c>
      <c r="Z71">
        <v>111.5</v>
      </c>
      <c r="AA71">
        <v>113.3</v>
      </c>
      <c r="AB71">
        <v>117.7</v>
      </c>
      <c r="AC71">
        <v>109.4</v>
      </c>
      <c r="AD71">
        <v>114.2</v>
      </c>
      <c r="AE71">
        <v>120.3</v>
      </c>
    </row>
    <row r="72" spans="1:31" x14ac:dyDescent="0.25">
      <c r="A72" t="s">
        <v>11</v>
      </c>
      <c r="B72">
        <v>2014</v>
      </c>
      <c r="C72" t="s">
        <v>24</v>
      </c>
      <c r="D72" t="str">
        <f t="shared" si="1"/>
        <v>2014DecemberUrban</v>
      </c>
      <c r="E72">
        <v>124</v>
      </c>
      <c r="F72">
        <v>124.7</v>
      </c>
      <c r="G72">
        <v>126.3</v>
      </c>
      <c r="H72">
        <v>124.9</v>
      </c>
      <c r="I72">
        <v>103</v>
      </c>
      <c r="J72">
        <v>122.3</v>
      </c>
      <c r="K72">
        <v>141</v>
      </c>
      <c r="L72">
        <v>120.1</v>
      </c>
      <c r="M72">
        <v>97.8</v>
      </c>
      <c r="N72">
        <v>125.4</v>
      </c>
      <c r="O72">
        <v>116.1</v>
      </c>
      <c r="P72">
        <v>127.6</v>
      </c>
      <c r="Q72">
        <v>124</v>
      </c>
      <c r="R72">
        <v>126.4</v>
      </c>
      <c r="S72">
        <v>120.7</v>
      </c>
      <c r="T72">
        <v>115.8</v>
      </c>
      <c r="U72">
        <v>120</v>
      </c>
      <c r="V72">
        <v>116.5</v>
      </c>
      <c r="W72">
        <v>113</v>
      </c>
      <c r="X72">
        <v>116.8</v>
      </c>
      <c r="Y72">
        <v>113.2</v>
      </c>
      <c r="Z72">
        <v>108.8</v>
      </c>
      <c r="AA72">
        <v>114.3</v>
      </c>
      <c r="AB72">
        <v>120.7</v>
      </c>
      <c r="AC72">
        <v>110.4</v>
      </c>
      <c r="AD72">
        <v>113.4</v>
      </c>
      <c r="AE72">
        <v>118.4</v>
      </c>
    </row>
    <row r="73" spans="1:31" x14ac:dyDescent="0.25">
      <c r="A73" t="s">
        <v>12</v>
      </c>
      <c r="B73">
        <v>2014</v>
      </c>
      <c r="C73" t="s">
        <v>24</v>
      </c>
      <c r="D73" t="str">
        <f t="shared" si="1"/>
        <v>2014DecemberRural+Urban</v>
      </c>
      <c r="E73">
        <v>122.9</v>
      </c>
      <c r="F73">
        <v>123.2</v>
      </c>
      <c r="G73">
        <v>123.5</v>
      </c>
      <c r="H73">
        <v>124.5</v>
      </c>
      <c r="I73">
        <v>107.6</v>
      </c>
      <c r="J73">
        <v>125.7</v>
      </c>
      <c r="K73">
        <v>140.5</v>
      </c>
      <c r="L73">
        <v>117.6</v>
      </c>
      <c r="M73">
        <v>100.6</v>
      </c>
      <c r="N73">
        <v>119.1</v>
      </c>
      <c r="O73">
        <v>116.8</v>
      </c>
      <c r="P73">
        <v>126.1</v>
      </c>
      <c r="Q73">
        <v>123.6</v>
      </c>
      <c r="R73">
        <v>123</v>
      </c>
      <c r="S73">
        <v>122.6</v>
      </c>
      <c r="T73">
        <v>118.6</v>
      </c>
      <c r="U73">
        <v>122</v>
      </c>
      <c r="V73">
        <v>116.5</v>
      </c>
      <c r="W73">
        <v>115.7</v>
      </c>
      <c r="X73">
        <v>117.5</v>
      </c>
      <c r="Y73">
        <v>115.1</v>
      </c>
      <c r="Z73">
        <v>110.1</v>
      </c>
      <c r="AA73">
        <v>113.9</v>
      </c>
      <c r="AB73">
        <v>119.5</v>
      </c>
      <c r="AC73">
        <v>109.8</v>
      </c>
      <c r="AD73">
        <v>113.8</v>
      </c>
      <c r="AE73">
        <v>119.4</v>
      </c>
    </row>
    <row r="74" spans="1:31" x14ac:dyDescent="0.25">
      <c r="A74" t="s">
        <v>9</v>
      </c>
      <c r="B74">
        <v>2015</v>
      </c>
      <c r="C74" t="s">
        <v>10</v>
      </c>
      <c r="D74" t="str">
        <f t="shared" si="1"/>
        <v>2015JanuaryRural</v>
      </c>
      <c r="E74">
        <v>123.1</v>
      </c>
      <c r="F74">
        <v>123.1</v>
      </c>
      <c r="G74">
        <v>122.1</v>
      </c>
      <c r="H74">
        <v>124.9</v>
      </c>
      <c r="I74">
        <v>111</v>
      </c>
      <c r="J74">
        <v>130.4</v>
      </c>
      <c r="K74">
        <v>132.30000000000001</v>
      </c>
      <c r="L74">
        <v>117.2</v>
      </c>
      <c r="M74">
        <v>100.5</v>
      </c>
      <c r="N74">
        <v>117.2</v>
      </c>
      <c r="O74">
        <v>117.9</v>
      </c>
      <c r="P74">
        <v>125.6</v>
      </c>
      <c r="Q74">
        <v>122.8</v>
      </c>
      <c r="R74">
        <v>122.7</v>
      </c>
      <c r="S74">
        <v>124.4</v>
      </c>
      <c r="T74">
        <v>121.6</v>
      </c>
      <c r="U74">
        <v>124</v>
      </c>
      <c r="V74" t="s">
        <v>26</v>
      </c>
      <c r="W74">
        <v>118.4</v>
      </c>
      <c r="X74">
        <v>118.9</v>
      </c>
      <c r="Y74">
        <v>116.6</v>
      </c>
      <c r="Z74">
        <v>111</v>
      </c>
      <c r="AA74">
        <v>114</v>
      </c>
      <c r="AB74">
        <v>118.2</v>
      </c>
      <c r="AC74">
        <v>110.2</v>
      </c>
      <c r="AD74">
        <v>114.5</v>
      </c>
      <c r="AE74">
        <v>120.3</v>
      </c>
    </row>
    <row r="75" spans="1:31" x14ac:dyDescent="0.25">
      <c r="A75" t="s">
        <v>11</v>
      </c>
      <c r="B75">
        <v>2015</v>
      </c>
      <c r="C75" t="s">
        <v>10</v>
      </c>
      <c r="D75" t="str">
        <f t="shared" si="1"/>
        <v>2015JanuaryUrban</v>
      </c>
      <c r="E75">
        <v>124</v>
      </c>
      <c r="F75">
        <v>125.5</v>
      </c>
      <c r="G75">
        <v>126.6</v>
      </c>
      <c r="H75">
        <v>125.2</v>
      </c>
      <c r="I75">
        <v>104.3</v>
      </c>
      <c r="J75">
        <v>121.3</v>
      </c>
      <c r="K75">
        <v>134.4</v>
      </c>
      <c r="L75">
        <v>122.9</v>
      </c>
      <c r="M75">
        <v>96.1</v>
      </c>
      <c r="N75">
        <v>126.6</v>
      </c>
      <c r="O75">
        <v>116.5</v>
      </c>
      <c r="P75">
        <v>128</v>
      </c>
      <c r="Q75">
        <v>123.5</v>
      </c>
      <c r="R75">
        <v>127.4</v>
      </c>
      <c r="S75">
        <v>121</v>
      </c>
      <c r="T75">
        <v>116.1</v>
      </c>
      <c r="U75">
        <v>120.2</v>
      </c>
      <c r="V75">
        <v>117.3</v>
      </c>
      <c r="W75">
        <v>113.4</v>
      </c>
      <c r="X75">
        <v>117.2</v>
      </c>
      <c r="Y75">
        <v>113.7</v>
      </c>
      <c r="Z75">
        <v>107.9</v>
      </c>
      <c r="AA75">
        <v>114.6</v>
      </c>
      <c r="AB75">
        <v>120.8</v>
      </c>
      <c r="AC75">
        <v>111.4</v>
      </c>
      <c r="AD75">
        <v>113.4</v>
      </c>
      <c r="AE75">
        <v>118.5</v>
      </c>
    </row>
    <row r="76" spans="1:31" x14ac:dyDescent="0.25">
      <c r="A76" t="s">
        <v>12</v>
      </c>
      <c r="B76">
        <v>2015</v>
      </c>
      <c r="C76" t="s">
        <v>10</v>
      </c>
      <c r="D76" t="str">
        <f t="shared" si="1"/>
        <v>2015JanuaryRural+Urban</v>
      </c>
      <c r="E76">
        <v>123.4</v>
      </c>
      <c r="F76">
        <v>123.9</v>
      </c>
      <c r="G76">
        <v>123.8</v>
      </c>
      <c r="H76">
        <v>125</v>
      </c>
      <c r="I76">
        <v>108.5</v>
      </c>
      <c r="J76">
        <v>126.2</v>
      </c>
      <c r="K76">
        <v>133</v>
      </c>
      <c r="L76">
        <v>119.1</v>
      </c>
      <c r="M76">
        <v>99</v>
      </c>
      <c r="N76">
        <v>120.3</v>
      </c>
      <c r="O76">
        <v>117.3</v>
      </c>
      <c r="P76">
        <v>126.7</v>
      </c>
      <c r="Q76">
        <v>123.1</v>
      </c>
      <c r="R76">
        <v>124</v>
      </c>
      <c r="S76">
        <v>123.1</v>
      </c>
      <c r="T76">
        <v>119.3</v>
      </c>
      <c r="U76">
        <v>122.5</v>
      </c>
      <c r="V76">
        <v>117.3</v>
      </c>
      <c r="W76">
        <v>116.5</v>
      </c>
      <c r="X76">
        <v>118.1</v>
      </c>
      <c r="Y76">
        <v>115.5</v>
      </c>
      <c r="Z76">
        <v>109.4</v>
      </c>
      <c r="AA76">
        <v>114.3</v>
      </c>
      <c r="AB76">
        <v>119.7</v>
      </c>
      <c r="AC76">
        <v>110.7</v>
      </c>
      <c r="AD76">
        <v>114</v>
      </c>
      <c r="AE76">
        <v>119.5</v>
      </c>
    </row>
    <row r="77" spans="1:31" x14ac:dyDescent="0.25">
      <c r="A77" t="s">
        <v>9</v>
      </c>
      <c r="B77">
        <v>2015</v>
      </c>
      <c r="C77" t="s">
        <v>13</v>
      </c>
      <c r="D77" t="str">
        <f t="shared" si="1"/>
        <v>2015FebruaryRural</v>
      </c>
      <c r="E77">
        <v>123.4</v>
      </c>
      <c r="F77">
        <v>124.4</v>
      </c>
      <c r="G77">
        <v>122.1</v>
      </c>
      <c r="H77">
        <v>125.8</v>
      </c>
      <c r="I77">
        <v>111.5</v>
      </c>
      <c r="J77">
        <v>129.4</v>
      </c>
      <c r="K77">
        <v>128.19999999999999</v>
      </c>
      <c r="L77">
        <v>118.8</v>
      </c>
      <c r="M77">
        <v>100</v>
      </c>
      <c r="N77">
        <v>118.6</v>
      </c>
      <c r="O77">
        <v>118.8</v>
      </c>
      <c r="P77">
        <v>126.8</v>
      </c>
      <c r="Q77">
        <v>122.8</v>
      </c>
      <c r="R77">
        <v>124.2</v>
      </c>
      <c r="S77">
        <v>125.4</v>
      </c>
      <c r="T77">
        <v>122.7</v>
      </c>
      <c r="U77">
        <v>125</v>
      </c>
      <c r="V77" t="s">
        <v>26</v>
      </c>
      <c r="W77">
        <v>120</v>
      </c>
      <c r="X77">
        <v>119.6</v>
      </c>
      <c r="Y77">
        <v>117.7</v>
      </c>
      <c r="Z77">
        <v>110.9</v>
      </c>
      <c r="AA77">
        <v>114.8</v>
      </c>
      <c r="AB77">
        <v>118.7</v>
      </c>
      <c r="AC77">
        <v>110.8</v>
      </c>
      <c r="AD77">
        <v>115</v>
      </c>
      <c r="AE77">
        <v>120.6</v>
      </c>
    </row>
    <row r="78" spans="1:31" x14ac:dyDescent="0.25">
      <c r="A78" t="s">
        <v>11</v>
      </c>
      <c r="B78">
        <v>2015</v>
      </c>
      <c r="C78" t="s">
        <v>13</v>
      </c>
      <c r="D78" t="str">
        <f t="shared" si="1"/>
        <v>2015FebruaryUrban</v>
      </c>
      <c r="E78">
        <v>124.3</v>
      </c>
      <c r="F78">
        <v>126.5</v>
      </c>
      <c r="G78">
        <v>119.5</v>
      </c>
      <c r="H78">
        <v>125.6</v>
      </c>
      <c r="I78">
        <v>104.9</v>
      </c>
      <c r="J78">
        <v>121.6</v>
      </c>
      <c r="K78">
        <v>131.80000000000001</v>
      </c>
      <c r="L78">
        <v>125.1</v>
      </c>
      <c r="M78">
        <v>95</v>
      </c>
      <c r="N78">
        <v>127.7</v>
      </c>
      <c r="O78">
        <v>116.8</v>
      </c>
      <c r="P78">
        <v>128.6</v>
      </c>
      <c r="Q78">
        <v>123.7</v>
      </c>
      <c r="R78">
        <v>128.1</v>
      </c>
      <c r="S78">
        <v>121.3</v>
      </c>
      <c r="T78">
        <v>116.5</v>
      </c>
      <c r="U78">
        <v>120.6</v>
      </c>
      <c r="V78">
        <v>118.1</v>
      </c>
      <c r="W78">
        <v>114</v>
      </c>
      <c r="X78">
        <v>117.7</v>
      </c>
      <c r="Y78">
        <v>114.1</v>
      </c>
      <c r="Z78">
        <v>106.8</v>
      </c>
      <c r="AA78">
        <v>114.9</v>
      </c>
      <c r="AB78">
        <v>120.4</v>
      </c>
      <c r="AC78">
        <v>111.7</v>
      </c>
      <c r="AD78">
        <v>113.2</v>
      </c>
      <c r="AE78">
        <v>118.7</v>
      </c>
    </row>
    <row r="79" spans="1:31" x14ac:dyDescent="0.25">
      <c r="A79" t="s">
        <v>12</v>
      </c>
      <c r="B79">
        <v>2015</v>
      </c>
      <c r="C79" t="s">
        <v>13</v>
      </c>
      <c r="D79" t="str">
        <f t="shared" si="1"/>
        <v>2015FebruaryRural+Urban</v>
      </c>
      <c r="E79">
        <v>123.7</v>
      </c>
      <c r="F79">
        <v>125.1</v>
      </c>
      <c r="G79">
        <v>121.1</v>
      </c>
      <c r="H79">
        <v>125.7</v>
      </c>
      <c r="I79">
        <v>109.1</v>
      </c>
      <c r="J79">
        <v>125.8</v>
      </c>
      <c r="K79">
        <v>129.4</v>
      </c>
      <c r="L79">
        <v>120.9</v>
      </c>
      <c r="M79">
        <v>98.3</v>
      </c>
      <c r="N79">
        <v>121.6</v>
      </c>
      <c r="O79">
        <v>118</v>
      </c>
      <c r="P79">
        <v>127.6</v>
      </c>
      <c r="Q79">
        <v>123.1</v>
      </c>
      <c r="R79">
        <v>125.2</v>
      </c>
      <c r="S79">
        <v>123.8</v>
      </c>
      <c r="T79">
        <v>120.1</v>
      </c>
      <c r="U79">
        <v>123.3</v>
      </c>
      <c r="V79">
        <v>118.1</v>
      </c>
      <c r="W79">
        <v>117.7</v>
      </c>
      <c r="X79">
        <v>118.7</v>
      </c>
      <c r="Y79">
        <v>116.3</v>
      </c>
      <c r="Z79">
        <v>108.7</v>
      </c>
      <c r="AA79">
        <v>114.9</v>
      </c>
      <c r="AB79">
        <v>119.7</v>
      </c>
      <c r="AC79">
        <v>111.2</v>
      </c>
      <c r="AD79">
        <v>114.1</v>
      </c>
      <c r="AE79">
        <v>119.7</v>
      </c>
    </row>
    <row r="80" spans="1:31" x14ac:dyDescent="0.25">
      <c r="A80" t="s">
        <v>9</v>
      </c>
      <c r="B80">
        <v>2015</v>
      </c>
      <c r="C80" t="s">
        <v>15</v>
      </c>
      <c r="D80" t="str">
        <f t="shared" si="1"/>
        <v>2015MarchRural</v>
      </c>
      <c r="E80">
        <v>123.3</v>
      </c>
      <c r="F80">
        <v>124.7</v>
      </c>
      <c r="G80">
        <v>118.9</v>
      </c>
      <c r="H80">
        <v>126</v>
      </c>
      <c r="I80">
        <v>111.8</v>
      </c>
      <c r="J80">
        <v>130.9</v>
      </c>
      <c r="K80">
        <v>128</v>
      </c>
      <c r="L80">
        <v>119.9</v>
      </c>
      <c r="M80">
        <v>98.9</v>
      </c>
      <c r="N80">
        <v>119.4</v>
      </c>
      <c r="O80">
        <v>118.9</v>
      </c>
      <c r="P80">
        <v>127.7</v>
      </c>
      <c r="Q80">
        <v>123.1</v>
      </c>
      <c r="R80">
        <v>124.7</v>
      </c>
      <c r="S80">
        <v>126</v>
      </c>
      <c r="T80">
        <v>122.9</v>
      </c>
      <c r="U80">
        <v>125.5</v>
      </c>
      <c r="V80" t="s">
        <v>26</v>
      </c>
      <c r="W80">
        <v>120.6</v>
      </c>
      <c r="X80">
        <v>120.2</v>
      </c>
      <c r="Y80">
        <v>118.2</v>
      </c>
      <c r="Z80">
        <v>111.6</v>
      </c>
      <c r="AA80">
        <v>115.5</v>
      </c>
      <c r="AB80">
        <v>119.4</v>
      </c>
      <c r="AC80">
        <v>110.8</v>
      </c>
      <c r="AD80">
        <v>115.5</v>
      </c>
      <c r="AE80">
        <v>121.1</v>
      </c>
    </row>
    <row r="81" spans="1:31" x14ac:dyDescent="0.25">
      <c r="A81" t="s">
        <v>11</v>
      </c>
      <c r="B81">
        <v>2015</v>
      </c>
      <c r="C81" t="s">
        <v>15</v>
      </c>
      <c r="D81" t="str">
        <f t="shared" si="1"/>
        <v>2015MarchUrban</v>
      </c>
      <c r="E81">
        <v>124</v>
      </c>
      <c r="F81">
        <v>126.7</v>
      </c>
      <c r="G81">
        <v>113.5</v>
      </c>
      <c r="H81">
        <v>125.9</v>
      </c>
      <c r="I81">
        <v>104.8</v>
      </c>
      <c r="J81">
        <v>123.8</v>
      </c>
      <c r="K81">
        <v>131.4</v>
      </c>
      <c r="L81">
        <v>127.2</v>
      </c>
      <c r="M81">
        <v>93.2</v>
      </c>
      <c r="N81">
        <v>127.4</v>
      </c>
      <c r="O81">
        <v>117</v>
      </c>
      <c r="P81">
        <v>129.19999999999999</v>
      </c>
      <c r="Q81">
        <v>123.9</v>
      </c>
      <c r="R81">
        <v>128.80000000000001</v>
      </c>
      <c r="S81">
        <v>121.7</v>
      </c>
      <c r="T81">
        <v>116.9</v>
      </c>
      <c r="U81">
        <v>120.9</v>
      </c>
      <c r="V81">
        <v>118.6</v>
      </c>
      <c r="W81">
        <v>114.4</v>
      </c>
      <c r="X81">
        <v>118</v>
      </c>
      <c r="Y81">
        <v>114.3</v>
      </c>
      <c r="Z81">
        <v>108.4</v>
      </c>
      <c r="AA81">
        <v>115.4</v>
      </c>
      <c r="AB81">
        <v>120.6</v>
      </c>
      <c r="AC81">
        <v>111.3</v>
      </c>
      <c r="AD81">
        <v>113.8</v>
      </c>
      <c r="AE81">
        <v>119.1</v>
      </c>
    </row>
    <row r="82" spans="1:31" x14ac:dyDescent="0.25">
      <c r="A82" t="s">
        <v>12</v>
      </c>
      <c r="B82">
        <v>2015</v>
      </c>
      <c r="C82" t="s">
        <v>15</v>
      </c>
      <c r="D82" t="str">
        <f t="shared" si="1"/>
        <v>2015MarchRural+Urban</v>
      </c>
      <c r="E82">
        <v>123.5</v>
      </c>
      <c r="F82">
        <v>125.4</v>
      </c>
      <c r="G82">
        <v>116.8</v>
      </c>
      <c r="H82">
        <v>126</v>
      </c>
      <c r="I82">
        <v>109.2</v>
      </c>
      <c r="J82">
        <v>127.6</v>
      </c>
      <c r="K82">
        <v>129.19999999999999</v>
      </c>
      <c r="L82">
        <v>122.4</v>
      </c>
      <c r="M82">
        <v>97</v>
      </c>
      <c r="N82">
        <v>122.1</v>
      </c>
      <c r="O82">
        <v>118.1</v>
      </c>
      <c r="P82">
        <v>128.4</v>
      </c>
      <c r="Q82">
        <v>123.4</v>
      </c>
      <c r="R82">
        <v>125.8</v>
      </c>
      <c r="S82">
        <v>124.3</v>
      </c>
      <c r="T82">
        <v>120.4</v>
      </c>
      <c r="U82">
        <v>123.7</v>
      </c>
      <c r="V82">
        <v>118.6</v>
      </c>
      <c r="W82">
        <v>118.3</v>
      </c>
      <c r="X82">
        <v>119.2</v>
      </c>
      <c r="Y82">
        <v>116.7</v>
      </c>
      <c r="Z82">
        <v>109.9</v>
      </c>
      <c r="AA82">
        <v>115.4</v>
      </c>
      <c r="AB82">
        <v>120.1</v>
      </c>
      <c r="AC82">
        <v>111</v>
      </c>
      <c r="AD82">
        <v>114.7</v>
      </c>
      <c r="AE82">
        <v>120.2</v>
      </c>
    </row>
    <row r="83" spans="1:31" x14ac:dyDescent="0.25">
      <c r="A83" t="s">
        <v>9</v>
      </c>
      <c r="B83">
        <v>2015</v>
      </c>
      <c r="C83" t="s">
        <v>16</v>
      </c>
      <c r="D83" t="str">
        <f t="shared" si="1"/>
        <v>2015AprilRural</v>
      </c>
      <c r="E83">
        <v>123.3</v>
      </c>
      <c r="F83">
        <v>125.5</v>
      </c>
      <c r="G83">
        <v>117.2</v>
      </c>
      <c r="H83">
        <v>126.8</v>
      </c>
      <c r="I83">
        <v>111.9</v>
      </c>
      <c r="J83">
        <v>134.19999999999999</v>
      </c>
      <c r="K83">
        <v>127.5</v>
      </c>
      <c r="L83">
        <v>121.5</v>
      </c>
      <c r="M83">
        <v>97.8</v>
      </c>
      <c r="N83">
        <v>119.8</v>
      </c>
      <c r="O83">
        <v>119.4</v>
      </c>
      <c r="P83">
        <v>128.69999999999999</v>
      </c>
      <c r="Q83">
        <v>123.6</v>
      </c>
      <c r="R83">
        <v>125.7</v>
      </c>
      <c r="S83">
        <v>126.4</v>
      </c>
      <c r="T83">
        <v>123.3</v>
      </c>
      <c r="U83">
        <v>126</v>
      </c>
      <c r="V83" t="s">
        <v>26</v>
      </c>
      <c r="W83">
        <v>121.2</v>
      </c>
      <c r="X83">
        <v>120.9</v>
      </c>
      <c r="Y83">
        <v>118.6</v>
      </c>
      <c r="Z83">
        <v>111.9</v>
      </c>
      <c r="AA83">
        <v>116.2</v>
      </c>
      <c r="AB83">
        <v>119.9</v>
      </c>
      <c r="AC83">
        <v>111.6</v>
      </c>
      <c r="AD83">
        <v>116</v>
      </c>
      <c r="AE83">
        <v>121.5</v>
      </c>
    </row>
    <row r="84" spans="1:31" x14ac:dyDescent="0.25">
      <c r="A84" t="s">
        <v>11</v>
      </c>
      <c r="B84">
        <v>2015</v>
      </c>
      <c r="C84" t="s">
        <v>16</v>
      </c>
      <c r="D84" t="str">
        <f t="shared" si="1"/>
        <v>2015AprilUrban</v>
      </c>
      <c r="E84">
        <v>123.8</v>
      </c>
      <c r="F84">
        <v>128.19999999999999</v>
      </c>
      <c r="G84">
        <v>110</v>
      </c>
      <c r="H84">
        <v>126.3</v>
      </c>
      <c r="I84">
        <v>104.5</v>
      </c>
      <c r="J84">
        <v>130.6</v>
      </c>
      <c r="K84">
        <v>130.80000000000001</v>
      </c>
      <c r="L84">
        <v>131.30000000000001</v>
      </c>
      <c r="M84">
        <v>91.6</v>
      </c>
      <c r="N84">
        <v>127.7</v>
      </c>
      <c r="O84">
        <v>117.2</v>
      </c>
      <c r="P84">
        <v>129.5</v>
      </c>
      <c r="Q84">
        <v>124.6</v>
      </c>
      <c r="R84">
        <v>130.1</v>
      </c>
      <c r="S84">
        <v>122.1</v>
      </c>
      <c r="T84">
        <v>117.2</v>
      </c>
      <c r="U84">
        <v>121.3</v>
      </c>
      <c r="V84">
        <v>119.2</v>
      </c>
      <c r="W84">
        <v>114.7</v>
      </c>
      <c r="X84">
        <v>118.4</v>
      </c>
      <c r="Y84">
        <v>114.6</v>
      </c>
      <c r="Z84">
        <v>108.4</v>
      </c>
      <c r="AA84">
        <v>115.6</v>
      </c>
      <c r="AB84">
        <v>121.7</v>
      </c>
      <c r="AC84">
        <v>111.8</v>
      </c>
      <c r="AD84">
        <v>114.2</v>
      </c>
      <c r="AE84">
        <v>119.7</v>
      </c>
    </row>
    <row r="85" spans="1:31" x14ac:dyDescent="0.25">
      <c r="A85" t="s">
        <v>12</v>
      </c>
      <c r="B85">
        <v>2015</v>
      </c>
      <c r="C85" t="s">
        <v>16</v>
      </c>
      <c r="D85" t="str">
        <f t="shared" si="1"/>
        <v>2015AprilRural+Urban</v>
      </c>
      <c r="E85">
        <v>123.5</v>
      </c>
      <c r="F85">
        <v>126.4</v>
      </c>
      <c r="G85">
        <v>114.4</v>
      </c>
      <c r="H85">
        <v>126.6</v>
      </c>
      <c r="I85">
        <v>109.2</v>
      </c>
      <c r="J85">
        <v>132.5</v>
      </c>
      <c r="K85">
        <v>128.6</v>
      </c>
      <c r="L85">
        <v>124.8</v>
      </c>
      <c r="M85">
        <v>95.7</v>
      </c>
      <c r="N85">
        <v>122.4</v>
      </c>
      <c r="O85">
        <v>118.5</v>
      </c>
      <c r="P85">
        <v>129.1</v>
      </c>
      <c r="Q85">
        <v>124</v>
      </c>
      <c r="R85">
        <v>126.9</v>
      </c>
      <c r="S85">
        <v>124.7</v>
      </c>
      <c r="T85">
        <v>120.8</v>
      </c>
      <c r="U85">
        <v>124.1</v>
      </c>
      <c r="V85">
        <v>119.2</v>
      </c>
      <c r="W85">
        <v>118.7</v>
      </c>
      <c r="X85">
        <v>119.7</v>
      </c>
      <c r="Y85">
        <v>117.1</v>
      </c>
      <c r="Z85">
        <v>110.1</v>
      </c>
      <c r="AA85">
        <v>115.9</v>
      </c>
      <c r="AB85">
        <v>121</v>
      </c>
      <c r="AC85">
        <v>111.7</v>
      </c>
      <c r="AD85">
        <v>115.1</v>
      </c>
      <c r="AE85">
        <v>120.7</v>
      </c>
    </row>
    <row r="86" spans="1:31" x14ac:dyDescent="0.25">
      <c r="A86" t="s">
        <v>9</v>
      </c>
      <c r="B86">
        <v>2015</v>
      </c>
      <c r="C86" t="s">
        <v>14</v>
      </c>
      <c r="D86" t="str">
        <f t="shared" si="1"/>
        <v>2015MayRural</v>
      </c>
      <c r="E86">
        <v>123.5</v>
      </c>
      <c r="F86">
        <v>127.1</v>
      </c>
      <c r="G86">
        <v>117.3</v>
      </c>
      <c r="H86">
        <v>127.7</v>
      </c>
      <c r="I86">
        <v>112.5</v>
      </c>
      <c r="J86">
        <v>134.1</v>
      </c>
      <c r="K86">
        <v>128.5</v>
      </c>
      <c r="L86">
        <v>124.3</v>
      </c>
      <c r="M86">
        <v>97.6</v>
      </c>
      <c r="N86">
        <v>120.7</v>
      </c>
      <c r="O86">
        <v>120.2</v>
      </c>
      <c r="P86">
        <v>129.80000000000001</v>
      </c>
      <c r="Q86">
        <v>124.4</v>
      </c>
      <c r="R86">
        <v>126.7</v>
      </c>
      <c r="S86">
        <v>127.3</v>
      </c>
      <c r="T86">
        <v>124.1</v>
      </c>
      <c r="U86">
        <v>126.8</v>
      </c>
      <c r="V86" t="s">
        <v>26</v>
      </c>
      <c r="W86">
        <v>121.9</v>
      </c>
      <c r="X86">
        <v>121.5</v>
      </c>
      <c r="Y86">
        <v>119.4</v>
      </c>
      <c r="Z86">
        <v>113.3</v>
      </c>
      <c r="AA86">
        <v>116.7</v>
      </c>
      <c r="AB86">
        <v>120.5</v>
      </c>
      <c r="AC86">
        <v>112.3</v>
      </c>
      <c r="AD86">
        <v>116.9</v>
      </c>
      <c r="AE86">
        <v>122.4</v>
      </c>
    </row>
    <row r="87" spans="1:31" x14ac:dyDescent="0.25">
      <c r="A87" t="s">
        <v>11</v>
      </c>
      <c r="B87">
        <v>2015</v>
      </c>
      <c r="C87" t="s">
        <v>14</v>
      </c>
      <c r="D87" t="str">
        <f t="shared" si="1"/>
        <v>2015MayUrban</v>
      </c>
      <c r="E87">
        <v>123.8</v>
      </c>
      <c r="F87">
        <v>129.69999999999999</v>
      </c>
      <c r="G87">
        <v>111.3</v>
      </c>
      <c r="H87">
        <v>126.6</v>
      </c>
      <c r="I87">
        <v>105.2</v>
      </c>
      <c r="J87">
        <v>130.80000000000001</v>
      </c>
      <c r="K87">
        <v>135.6</v>
      </c>
      <c r="L87">
        <v>142.6</v>
      </c>
      <c r="M87">
        <v>90.8</v>
      </c>
      <c r="N87">
        <v>128.80000000000001</v>
      </c>
      <c r="O87">
        <v>117.7</v>
      </c>
      <c r="P87">
        <v>129.9</v>
      </c>
      <c r="Q87">
        <v>126.1</v>
      </c>
      <c r="R87">
        <v>131.30000000000001</v>
      </c>
      <c r="S87">
        <v>122.4</v>
      </c>
      <c r="T87">
        <v>117.4</v>
      </c>
      <c r="U87">
        <v>121.6</v>
      </c>
      <c r="V87">
        <v>119.6</v>
      </c>
      <c r="W87">
        <v>114.9</v>
      </c>
      <c r="X87">
        <v>118.7</v>
      </c>
      <c r="Y87">
        <v>114.9</v>
      </c>
      <c r="Z87">
        <v>110.8</v>
      </c>
      <c r="AA87">
        <v>116</v>
      </c>
      <c r="AB87">
        <v>122</v>
      </c>
      <c r="AC87">
        <v>112.4</v>
      </c>
      <c r="AD87">
        <v>115.2</v>
      </c>
      <c r="AE87">
        <v>120.7</v>
      </c>
    </row>
    <row r="88" spans="1:31" x14ac:dyDescent="0.25">
      <c r="A88" t="s">
        <v>12</v>
      </c>
      <c r="B88">
        <v>2015</v>
      </c>
      <c r="C88" t="s">
        <v>14</v>
      </c>
      <c r="D88" t="str">
        <f t="shared" si="1"/>
        <v>2015MayRural+Urban</v>
      </c>
      <c r="E88">
        <v>123.6</v>
      </c>
      <c r="F88">
        <v>128</v>
      </c>
      <c r="G88">
        <v>115</v>
      </c>
      <c r="H88">
        <v>127.3</v>
      </c>
      <c r="I88">
        <v>109.8</v>
      </c>
      <c r="J88">
        <v>132.6</v>
      </c>
      <c r="K88">
        <v>130.9</v>
      </c>
      <c r="L88">
        <v>130.5</v>
      </c>
      <c r="M88">
        <v>95.3</v>
      </c>
      <c r="N88">
        <v>123.4</v>
      </c>
      <c r="O88">
        <v>119.2</v>
      </c>
      <c r="P88">
        <v>129.80000000000001</v>
      </c>
      <c r="Q88">
        <v>125</v>
      </c>
      <c r="R88">
        <v>127.9</v>
      </c>
      <c r="S88">
        <v>125.4</v>
      </c>
      <c r="T88">
        <v>121.3</v>
      </c>
      <c r="U88">
        <v>124.7</v>
      </c>
      <c r="V88">
        <v>119.6</v>
      </c>
      <c r="W88">
        <v>119.2</v>
      </c>
      <c r="X88">
        <v>120.2</v>
      </c>
      <c r="Y88">
        <v>117.7</v>
      </c>
      <c r="Z88">
        <v>112</v>
      </c>
      <c r="AA88">
        <v>116.3</v>
      </c>
      <c r="AB88">
        <v>121.4</v>
      </c>
      <c r="AC88">
        <v>112.3</v>
      </c>
      <c r="AD88">
        <v>116.1</v>
      </c>
      <c r="AE88">
        <v>121.6</v>
      </c>
    </row>
    <row r="89" spans="1:31" x14ac:dyDescent="0.25">
      <c r="A89" t="s">
        <v>9</v>
      </c>
      <c r="B89">
        <v>2015</v>
      </c>
      <c r="C89" t="s">
        <v>17</v>
      </c>
      <c r="D89" t="str">
        <f t="shared" si="1"/>
        <v>2015JuneRural</v>
      </c>
      <c r="E89">
        <v>124.1</v>
      </c>
      <c r="F89">
        <v>130.4</v>
      </c>
      <c r="G89">
        <v>122.1</v>
      </c>
      <c r="H89">
        <v>128.69999999999999</v>
      </c>
      <c r="I89">
        <v>114.1</v>
      </c>
      <c r="J89">
        <v>133.19999999999999</v>
      </c>
      <c r="K89">
        <v>135.19999999999999</v>
      </c>
      <c r="L89">
        <v>131.9</v>
      </c>
      <c r="M89">
        <v>96.3</v>
      </c>
      <c r="N89">
        <v>123</v>
      </c>
      <c r="O89">
        <v>121.1</v>
      </c>
      <c r="P89">
        <v>131.19999999999999</v>
      </c>
      <c r="Q89">
        <v>126.6</v>
      </c>
      <c r="R89">
        <v>128.19999999999999</v>
      </c>
      <c r="S89">
        <v>128.4</v>
      </c>
      <c r="T89">
        <v>125.1</v>
      </c>
      <c r="U89">
        <v>128</v>
      </c>
      <c r="V89" t="s">
        <v>26</v>
      </c>
      <c r="W89">
        <v>122.6</v>
      </c>
      <c r="X89">
        <v>122.8</v>
      </c>
      <c r="Y89">
        <v>120.4</v>
      </c>
      <c r="Z89">
        <v>114.2</v>
      </c>
      <c r="AA89">
        <v>117.9</v>
      </c>
      <c r="AB89">
        <v>122</v>
      </c>
      <c r="AC89">
        <v>113</v>
      </c>
      <c r="AD89">
        <v>117.9</v>
      </c>
      <c r="AE89">
        <v>124.1</v>
      </c>
    </row>
    <row r="90" spans="1:31" x14ac:dyDescent="0.25">
      <c r="A90" t="s">
        <v>11</v>
      </c>
      <c r="B90">
        <v>2015</v>
      </c>
      <c r="C90" t="s">
        <v>17</v>
      </c>
      <c r="D90" t="str">
        <f t="shared" si="1"/>
        <v>2015JuneUrban</v>
      </c>
      <c r="E90">
        <v>123.6</v>
      </c>
      <c r="F90">
        <v>134.4</v>
      </c>
      <c r="G90">
        <v>120.9</v>
      </c>
      <c r="H90">
        <v>127.3</v>
      </c>
      <c r="I90">
        <v>106</v>
      </c>
      <c r="J90">
        <v>132.30000000000001</v>
      </c>
      <c r="K90">
        <v>146.69999999999999</v>
      </c>
      <c r="L90">
        <v>148.1</v>
      </c>
      <c r="M90">
        <v>89.8</v>
      </c>
      <c r="N90">
        <v>130.5</v>
      </c>
      <c r="O90">
        <v>118</v>
      </c>
      <c r="P90">
        <v>130.5</v>
      </c>
      <c r="Q90">
        <v>128.5</v>
      </c>
      <c r="R90">
        <v>132.1</v>
      </c>
      <c r="S90">
        <v>123.2</v>
      </c>
      <c r="T90">
        <v>117.6</v>
      </c>
      <c r="U90">
        <v>122.3</v>
      </c>
      <c r="V90">
        <v>119</v>
      </c>
      <c r="W90">
        <v>115.1</v>
      </c>
      <c r="X90">
        <v>119.2</v>
      </c>
      <c r="Y90">
        <v>115.4</v>
      </c>
      <c r="Z90">
        <v>111.7</v>
      </c>
      <c r="AA90">
        <v>116.2</v>
      </c>
      <c r="AB90">
        <v>123.8</v>
      </c>
      <c r="AC90">
        <v>112.5</v>
      </c>
      <c r="AD90">
        <v>116</v>
      </c>
      <c r="AE90">
        <v>121.7</v>
      </c>
    </row>
    <row r="91" spans="1:31" x14ac:dyDescent="0.25">
      <c r="A91" t="s">
        <v>12</v>
      </c>
      <c r="B91">
        <v>2015</v>
      </c>
      <c r="C91" t="s">
        <v>17</v>
      </c>
      <c r="D91" t="str">
        <f t="shared" si="1"/>
        <v>2015JuneRural+Urban</v>
      </c>
      <c r="E91">
        <v>123.9</v>
      </c>
      <c r="F91">
        <v>131.80000000000001</v>
      </c>
      <c r="G91">
        <v>121.6</v>
      </c>
      <c r="H91">
        <v>128.19999999999999</v>
      </c>
      <c r="I91">
        <v>111.1</v>
      </c>
      <c r="J91">
        <v>132.80000000000001</v>
      </c>
      <c r="K91">
        <v>139.1</v>
      </c>
      <c r="L91">
        <v>137.4</v>
      </c>
      <c r="M91">
        <v>94.1</v>
      </c>
      <c r="N91">
        <v>125.5</v>
      </c>
      <c r="O91">
        <v>119.8</v>
      </c>
      <c r="P91">
        <v>130.9</v>
      </c>
      <c r="Q91">
        <v>127.3</v>
      </c>
      <c r="R91">
        <v>129.19999999999999</v>
      </c>
      <c r="S91">
        <v>126.4</v>
      </c>
      <c r="T91">
        <v>122</v>
      </c>
      <c r="U91">
        <v>125.7</v>
      </c>
      <c r="V91">
        <v>119</v>
      </c>
      <c r="W91">
        <v>119.8</v>
      </c>
      <c r="X91">
        <v>121.1</v>
      </c>
      <c r="Y91">
        <v>118.5</v>
      </c>
      <c r="Z91">
        <v>112.9</v>
      </c>
      <c r="AA91">
        <v>116.9</v>
      </c>
      <c r="AB91">
        <v>123.1</v>
      </c>
      <c r="AC91">
        <v>112.8</v>
      </c>
      <c r="AD91">
        <v>117</v>
      </c>
      <c r="AE91">
        <v>123</v>
      </c>
    </row>
    <row r="92" spans="1:31" x14ac:dyDescent="0.25">
      <c r="A92" t="s">
        <v>9</v>
      </c>
      <c r="B92">
        <v>2015</v>
      </c>
      <c r="C92" t="s">
        <v>18</v>
      </c>
      <c r="D92" t="str">
        <f t="shared" si="1"/>
        <v>2015JulyRural</v>
      </c>
      <c r="E92">
        <v>124</v>
      </c>
      <c r="F92">
        <v>131.5</v>
      </c>
      <c r="G92">
        <v>122</v>
      </c>
      <c r="H92">
        <v>128.69999999999999</v>
      </c>
      <c r="I92">
        <v>113.5</v>
      </c>
      <c r="J92">
        <v>133.30000000000001</v>
      </c>
      <c r="K92">
        <v>140.80000000000001</v>
      </c>
      <c r="L92">
        <v>133.80000000000001</v>
      </c>
      <c r="M92">
        <v>94.1</v>
      </c>
      <c r="N92">
        <v>123.4</v>
      </c>
      <c r="O92">
        <v>121</v>
      </c>
      <c r="P92">
        <v>131.69999999999999</v>
      </c>
      <c r="Q92">
        <v>127.5</v>
      </c>
      <c r="R92">
        <v>129.4</v>
      </c>
      <c r="S92">
        <v>128.80000000000001</v>
      </c>
      <c r="T92">
        <v>125.5</v>
      </c>
      <c r="U92">
        <v>128.30000000000001</v>
      </c>
      <c r="V92" t="s">
        <v>26</v>
      </c>
      <c r="W92">
        <v>123</v>
      </c>
      <c r="X92">
        <v>123</v>
      </c>
      <c r="Y92">
        <v>120.8</v>
      </c>
      <c r="Z92">
        <v>114.1</v>
      </c>
      <c r="AA92">
        <v>118</v>
      </c>
      <c r="AB92">
        <v>122.9</v>
      </c>
      <c r="AC92">
        <v>112.7</v>
      </c>
      <c r="AD92">
        <v>118.1</v>
      </c>
      <c r="AE92">
        <v>124.7</v>
      </c>
    </row>
    <row r="93" spans="1:31" x14ac:dyDescent="0.25">
      <c r="A93" t="s">
        <v>11</v>
      </c>
      <c r="B93">
        <v>2015</v>
      </c>
      <c r="C93" t="s">
        <v>18</v>
      </c>
      <c r="D93" t="str">
        <f t="shared" si="1"/>
        <v>2015JulyUrban</v>
      </c>
      <c r="E93">
        <v>123.2</v>
      </c>
      <c r="F93">
        <v>134.30000000000001</v>
      </c>
      <c r="G93">
        <v>119.5</v>
      </c>
      <c r="H93">
        <v>127.7</v>
      </c>
      <c r="I93">
        <v>106.3</v>
      </c>
      <c r="J93">
        <v>132.80000000000001</v>
      </c>
      <c r="K93">
        <v>153.5</v>
      </c>
      <c r="L93">
        <v>149.5</v>
      </c>
      <c r="M93">
        <v>85.7</v>
      </c>
      <c r="N93">
        <v>131.5</v>
      </c>
      <c r="O93">
        <v>118.3</v>
      </c>
      <c r="P93">
        <v>131.1</v>
      </c>
      <c r="Q93">
        <v>129.5</v>
      </c>
      <c r="R93">
        <v>133.1</v>
      </c>
      <c r="S93">
        <v>123.5</v>
      </c>
      <c r="T93">
        <v>117.9</v>
      </c>
      <c r="U93">
        <v>122.7</v>
      </c>
      <c r="V93">
        <v>119.9</v>
      </c>
      <c r="W93">
        <v>115.3</v>
      </c>
      <c r="X93">
        <v>119.5</v>
      </c>
      <c r="Y93">
        <v>116</v>
      </c>
      <c r="Z93">
        <v>111.5</v>
      </c>
      <c r="AA93">
        <v>116.6</v>
      </c>
      <c r="AB93">
        <v>125.4</v>
      </c>
      <c r="AC93">
        <v>111.7</v>
      </c>
      <c r="AD93">
        <v>116.3</v>
      </c>
      <c r="AE93">
        <v>122.4</v>
      </c>
    </row>
    <row r="94" spans="1:31" x14ac:dyDescent="0.25">
      <c r="A94" t="s">
        <v>12</v>
      </c>
      <c r="B94">
        <v>2015</v>
      </c>
      <c r="C94" t="s">
        <v>18</v>
      </c>
      <c r="D94" t="str">
        <f t="shared" si="1"/>
        <v>2015JulyRural+Urban</v>
      </c>
      <c r="E94">
        <v>123.7</v>
      </c>
      <c r="F94">
        <v>132.5</v>
      </c>
      <c r="G94">
        <v>121</v>
      </c>
      <c r="H94">
        <v>128.30000000000001</v>
      </c>
      <c r="I94">
        <v>110.9</v>
      </c>
      <c r="J94">
        <v>133.1</v>
      </c>
      <c r="K94">
        <v>145.1</v>
      </c>
      <c r="L94">
        <v>139.1</v>
      </c>
      <c r="M94">
        <v>91.3</v>
      </c>
      <c r="N94">
        <v>126.1</v>
      </c>
      <c r="O94">
        <v>119.9</v>
      </c>
      <c r="P94">
        <v>131.4</v>
      </c>
      <c r="Q94">
        <v>128.19999999999999</v>
      </c>
      <c r="R94">
        <v>130.4</v>
      </c>
      <c r="S94">
        <v>126.7</v>
      </c>
      <c r="T94">
        <v>122.3</v>
      </c>
      <c r="U94">
        <v>126.1</v>
      </c>
      <c r="V94">
        <v>119.9</v>
      </c>
      <c r="W94">
        <v>120.1</v>
      </c>
      <c r="X94">
        <v>121.3</v>
      </c>
      <c r="Y94">
        <v>119</v>
      </c>
      <c r="Z94">
        <v>112.7</v>
      </c>
      <c r="AA94">
        <v>117.2</v>
      </c>
      <c r="AB94">
        <v>124.4</v>
      </c>
      <c r="AC94">
        <v>112.3</v>
      </c>
      <c r="AD94">
        <v>117.2</v>
      </c>
      <c r="AE94">
        <v>123.6</v>
      </c>
    </row>
    <row r="95" spans="1:31" x14ac:dyDescent="0.25">
      <c r="A95" t="s">
        <v>9</v>
      </c>
      <c r="B95">
        <v>2015</v>
      </c>
      <c r="C95" t="s">
        <v>19</v>
      </c>
      <c r="D95" t="str">
        <f t="shared" si="1"/>
        <v>2015AugustRural</v>
      </c>
      <c r="E95">
        <v>124.7</v>
      </c>
      <c r="F95">
        <v>131.30000000000001</v>
      </c>
      <c r="G95">
        <v>121.3</v>
      </c>
      <c r="H95">
        <v>128.80000000000001</v>
      </c>
      <c r="I95">
        <v>114</v>
      </c>
      <c r="J95">
        <v>134.19999999999999</v>
      </c>
      <c r="K95">
        <v>153.6</v>
      </c>
      <c r="L95">
        <v>137.9</v>
      </c>
      <c r="M95">
        <v>93.1</v>
      </c>
      <c r="N95">
        <v>123.9</v>
      </c>
      <c r="O95">
        <v>121.5</v>
      </c>
      <c r="P95">
        <v>132.5</v>
      </c>
      <c r="Q95">
        <v>129.80000000000001</v>
      </c>
      <c r="R95">
        <v>130.1</v>
      </c>
      <c r="S95">
        <v>129.5</v>
      </c>
      <c r="T95">
        <v>126.3</v>
      </c>
      <c r="U95">
        <v>129</v>
      </c>
      <c r="V95" t="s">
        <v>26</v>
      </c>
      <c r="W95">
        <v>123.8</v>
      </c>
      <c r="X95">
        <v>123.7</v>
      </c>
      <c r="Y95">
        <v>121.1</v>
      </c>
      <c r="Z95">
        <v>113.6</v>
      </c>
      <c r="AA95">
        <v>118.5</v>
      </c>
      <c r="AB95">
        <v>123.6</v>
      </c>
      <c r="AC95">
        <v>112.5</v>
      </c>
      <c r="AD95">
        <v>118.2</v>
      </c>
      <c r="AE95">
        <v>126.1</v>
      </c>
    </row>
    <row r="96" spans="1:31" x14ac:dyDescent="0.25">
      <c r="A96" t="s">
        <v>11</v>
      </c>
      <c r="B96">
        <v>2015</v>
      </c>
      <c r="C96" t="s">
        <v>19</v>
      </c>
      <c r="D96" t="str">
        <f t="shared" si="1"/>
        <v>2015AugustUrban</v>
      </c>
      <c r="E96">
        <v>123.1</v>
      </c>
      <c r="F96">
        <v>131.69999999999999</v>
      </c>
      <c r="G96">
        <v>118.1</v>
      </c>
      <c r="H96">
        <v>128</v>
      </c>
      <c r="I96">
        <v>106.8</v>
      </c>
      <c r="J96">
        <v>130.1</v>
      </c>
      <c r="K96">
        <v>165.5</v>
      </c>
      <c r="L96">
        <v>156</v>
      </c>
      <c r="M96">
        <v>85.3</v>
      </c>
      <c r="N96">
        <v>132.69999999999999</v>
      </c>
      <c r="O96">
        <v>118.8</v>
      </c>
      <c r="P96">
        <v>131.69999999999999</v>
      </c>
      <c r="Q96">
        <v>131.1</v>
      </c>
      <c r="R96">
        <v>134.19999999999999</v>
      </c>
      <c r="S96">
        <v>123.7</v>
      </c>
      <c r="T96">
        <v>118.2</v>
      </c>
      <c r="U96">
        <v>122.9</v>
      </c>
      <c r="V96">
        <v>120.9</v>
      </c>
      <c r="W96">
        <v>115.3</v>
      </c>
      <c r="X96">
        <v>120</v>
      </c>
      <c r="Y96">
        <v>116.6</v>
      </c>
      <c r="Z96">
        <v>109.9</v>
      </c>
      <c r="AA96">
        <v>117.2</v>
      </c>
      <c r="AB96">
        <v>126.2</v>
      </c>
      <c r="AC96">
        <v>112</v>
      </c>
      <c r="AD96">
        <v>116.2</v>
      </c>
      <c r="AE96">
        <v>123.2</v>
      </c>
    </row>
    <row r="97" spans="1:31" x14ac:dyDescent="0.25">
      <c r="A97" t="s">
        <v>12</v>
      </c>
      <c r="B97">
        <v>2015</v>
      </c>
      <c r="C97" t="s">
        <v>19</v>
      </c>
      <c r="D97" t="str">
        <f t="shared" si="1"/>
        <v>2015AugustRural+Urban</v>
      </c>
      <c r="E97">
        <v>124.2</v>
      </c>
      <c r="F97">
        <v>131.4</v>
      </c>
      <c r="G97">
        <v>120.1</v>
      </c>
      <c r="H97">
        <v>128.5</v>
      </c>
      <c r="I97">
        <v>111.4</v>
      </c>
      <c r="J97">
        <v>132.30000000000001</v>
      </c>
      <c r="K97">
        <v>157.6</v>
      </c>
      <c r="L97">
        <v>144</v>
      </c>
      <c r="M97">
        <v>90.5</v>
      </c>
      <c r="N97">
        <v>126.8</v>
      </c>
      <c r="O97">
        <v>120.4</v>
      </c>
      <c r="P97">
        <v>132.1</v>
      </c>
      <c r="Q97">
        <v>130.30000000000001</v>
      </c>
      <c r="R97">
        <v>131.19999999999999</v>
      </c>
      <c r="S97">
        <v>127.2</v>
      </c>
      <c r="T97">
        <v>122.9</v>
      </c>
      <c r="U97">
        <v>126.6</v>
      </c>
      <c r="V97">
        <v>120.9</v>
      </c>
      <c r="W97">
        <v>120.6</v>
      </c>
      <c r="X97">
        <v>122</v>
      </c>
      <c r="Y97">
        <v>119.4</v>
      </c>
      <c r="Z97">
        <v>111.7</v>
      </c>
      <c r="AA97">
        <v>117.8</v>
      </c>
      <c r="AB97">
        <v>125.1</v>
      </c>
      <c r="AC97">
        <v>112.3</v>
      </c>
      <c r="AD97">
        <v>117.2</v>
      </c>
      <c r="AE97">
        <v>124.8</v>
      </c>
    </row>
    <row r="98" spans="1:31" x14ac:dyDescent="0.25">
      <c r="A98" t="s">
        <v>9</v>
      </c>
      <c r="B98">
        <v>2015</v>
      </c>
      <c r="C98" t="s">
        <v>20</v>
      </c>
      <c r="D98" t="str">
        <f t="shared" si="1"/>
        <v>2015SeptemberRural</v>
      </c>
      <c r="E98">
        <v>125.1</v>
      </c>
      <c r="F98">
        <v>131.1</v>
      </c>
      <c r="G98">
        <v>120.7</v>
      </c>
      <c r="H98">
        <v>129.19999999999999</v>
      </c>
      <c r="I98">
        <v>114.7</v>
      </c>
      <c r="J98">
        <v>132.30000000000001</v>
      </c>
      <c r="K98">
        <v>158.9</v>
      </c>
      <c r="L98">
        <v>142.1</v>
      </c>
      <c r="M98">
        <v>92.5</v>
      </c>
      <c r="N98">
        <v>125.4</v>
      </c>
      <c r="O98">
        <v>121.9</v>
      </c>
      <c r="P98">
        <v>132.69999999999999</v>
      </c>
      <c r="Q98">
        <v>131</v>
      </c>
      <c r="R98">
        <v>131</v>
      </c>
      <c r="S98">
        <v>130.4</v>
      </c>
      <c r="T98">
        <v>126.8</v>
      </c>
      <c r="U98">
        <v>129.9</v>
      </c>
      <c r="V98" t="s">
        <v>26</v>
      </c>
      <c r="W98">
        <v>123.7</v>
      </c>
      <c r="X98">
        <v>124.5</v>
      </c>
      <c r="Y98">
        <v>121.4</v>
      </c>
      <c r="Z98">
        <v>113.8</v>
      </c>
      <c r="AA98">
        <v>119.6</v>
      </c>
      <c r="AB98">
        <v>124.5</v>
      </c>
      <c r="AC98">
        <v>113.7</v>
      </c>
      <c r="AD98">
        <v>118.8</v>
      </c>
      <c r="AE98">
        <v>127</v>
      </c>
    </row>
    <row r="99" spans="1:31" x14ac:dyDescent="0.25">
      <c r="A99" t="s">
        <v>11</v>
      </c>
      <c r="B99">
        <v>2015</v>
      </c>
      <c r="C99" t="s">
        <v>20</v>
      </c>
      <c r="D99" t="str">
        <f t="shared" si="1"/>
        <v>2015SeptemberUrban</v>
      </c>
      <c r="E99">
        <v>123.4</v>
      </c>
      <c r="F99">
        <v>129</v>
      </c>
      <c r="G99">
        <v>115.6</v>
      </c>
      <c r="H99">
        <v>128.30000000000001</v>
      </c>
      <c r="I99">
        <v>107</v>
      </c>
      <c r="J99">
        <v>124</v>
      </c>
      <c r="K99">
        <v>168.5</v>
      </c>
      <c r="L99">
        <v>165.4</v>
      </c>
      <c r="M99">
        <v>86.3</v>
      </c>
      <c r="N99">
        <v>134.4</v>
      </c>
      <c r="O99">
        <v>119.1</v>
      </c>
      <c r="P99">
        <v>132.30000000000001</v>
      </c>
      <c r="Q99">
        <v>131.5</v>
      </c>
      <c r="R99">
        <v>134.69999999999999</v>
      </c>
      <c r="S99">
        <v>124</v>
      </c>
      <c r="T99">
        <v>118.6</v>
      </c>
      <c r="U99">
        <v>123.2</v>
      </c>
      <c r="V99">
        <v>121.6</v>
      </c>
      <c r="W99">
        <v>115.1</v>
      </c>
      <c r="X99">
        <v>120.4</v>
      </c>
      <c r="Y99">
        <v>117.1</v>
      </c>
      <c r="Z99">
        <v>109.1</v>
      </c>
      <c r="AA99">
        <v>117.3</v>
      </c>
      <c r="AB99">
        <v>126.5</v>
      </c>
      <c r="AC99">
        <v>112.9</v>
      </c>
      <c r="AD99">
        <v>116.2</v>
      </c>
      <c r="AE99">
        <v>123.5</v>
      </c>
    </row>
    <row r="100" spans="1:31" x14ac:dyDescent="0.25">
      <c r="A100" t="s">
        <v>12</v>
      </c>
      <c r="B100">
        <v>2015</v>
      </c>
      <c r="C100" t="s">
        <v>20</v>
      </c>
      <c r="D100" t="str">
        <f t="shared" si="1"/>
        <v>2015SeptemberRural+Urban</v>
      </c>
      <c r="E100">
        <v>124.6</v>
      </c>
      <c r="F100">
        <v>130.4</v>
      </c>
      <c r="G100">
        <v>118.7</v>
      </c>
      <c r="H100">
        <v>128.9</v>
      </c>
      <c r="I100">
        <v>111.9</v>
      </c>
      <c r="J100">
        <v>128.4</v>
      </c>
      <c r="K100">
        <v>162.19999999999999</v>
      </c>
      <c r="L100">
        <v>150</v>
      </c>
      <c r="M100">
        <v>90.4</v>
      </c>
      <c r="N100">
        <v>128.4</v>
      </c>
      <c r="O100">
        <v>120.7</v>
      </c>
      <c r="P100">
        <v>132.5</v>
      </c>
      <c r="Q100">
        <v>131.19999999999999</v>
      </c>
      <c r="R100">
        <v>132</v>
      </c>
      <c r="S100">
        <v>127.9</v>
      </c>
      <c r="T100">
        <v>123.4</v>
      </c>
      <c r="U100">
        <v>127.2</v>
      </c>
      <c r="V100">
        <v>121.6</v>
      </c>
      <c r="W100">
        <v>120.4</v>
      </c>
      <c r="X100">
        <v>122.6</v>
      </c>
      <c r="Y100">
        <v>119.8</v>
      </c>
      <c r="Z100">
        <v>111.3</v>
      </c>
      <c r="AA100">
        <v>118.3</v>
      </c>
      <c r="AB100">
        <v>125.7</v>
      </c>
      <c r="AC100">
        <v>113.4</v>
      </c>
      <c r="AD100">
        <v>117.5</v>
      </c>
      <c r="AE100">
        <v>125.4</v>
      </c>
    </row>
    <row r="101" spans="1:31" x14ac:dyDescent="0.25">
      <c r="A101" t="s">
        <v>9</v>
      </c>
      <c r="B101">
        <v>2015</v>
      </c>
      <c r="C101" t="s">
        <v>21</v>
      </c>
      <c r="D101" t="str">
        <f t="shared" si="1"/>
        <v>2015OctoberRural</v>
      </c>
      <c r="E101">
        <v>125.6</v>
      </c>
      <c r="F101">
        <v>130.4</v>
      </c>
      <c r="G101">
        <v>120.8</v>
      </c>
      <c r="H101">
        <v>129.4</v>
      </c>
      <c r="I101">
        <v>115.8</v>
      </c>
      <c r="J101">
        <v>133.19999999999999</v>
      </c>
      <c r="K101">
        <v>157.69999999999999</v>
      </c>
      <c r="L101">
        <v>154.19999999999999</v>
      </c>
      <c r="M101">
        <v>93.7</v>
      </c>
      <c r="N101">
        <v>126.6</v>
      </c>
      <c r="O101">
        <v>122.3</v>
      </c>
      <c r="P101">
        <v>133.1</v>
      </c>
      <c r="Q101">
        <v>131.80000000000001</v>
      </c>
      <c r="R101">
        <v>131.5</v>
      </c>
      <c r="S101">
        <v>131.1</v>
      </c>
      <c r="T101">
        <v>127.3</v>
      </c>
      <c r="U101">
        <v>130.6</v>
      </c>
      <c r="V101" t="s">
        <v>26</v>
      </c>
      <c r="W101">
        <v>124.4</v>
      </c>
      <c r="X101">
        <v>125.1</v>
      </c>
      <c r="Y101">
        <v>122</v>
      </c>
      <c r="Z101">
        <v>113.8</v>
      </c>
      <c r="AA101">
        <v>120.1</v>
      </c>
      <c r="AB101">
        <v>125.1</v>
      </c>
      <c r="AC101">
        <v>114.2</v>
      </c>
      <c r="AD101">
        <v>119.2</v>
      </c>
      <c r="AE101">
        <v>127.7</v>
      </c>
    </row>
    <row r="102" spans="1:31" x14ac:dyDescent="0.25">
      <c r="A102" t="s">
        <v>11</v>
      </c>
      <c r="B102">
        <v>2015</v>
      </c>
      <c r="C102" t="s">
        <v>21</v>
      </c>
      <c r="D102" t="str">
        <f t="shared" si="1"/>
        <v>2015OctoberUrban</v>
      </c>
      <c r="E102">
        <v>123.6</v>
      </c>
      <c r="F102">
        <v>128.6</v>
      </c>
      <c r="G102">
        <v>115.9</v>
      </c>
      <c r="H102">
        <v>128.5</v>
      </c>
      <c r="I102">
        <v>109</v>
      </c>
      <c r="J102">
        <v>124.1</v>
      </c>
      <c r="K102">
        <v>165.8</v>
      </c>
      <c r="L102">
        <v>187.2</v>
      </c>
      <c r="M102">
        <v>89.4</v>
      </c>
      <c r="N102">
        <v>135.80000000000001</v>
      </c>
      <c r="O102">
        <v>119.4</v>
      </c>
      <c r="P102">
        <v>132.9</v>
      </c>
      <c r="Q102">
        <v>132.6</v>
      </c>
      <c r="R102">
        <v>135.30000000000001</v>
      </c>
      <c r="S102">
        <v>124.4</v>
      </c>
      <c r="T102">
        <v>118.8</v>
      </c>
      <c r="U102">
        <v>123.6</v>
      </c>
      <c r="V102">
        <v>122.4</v>
      </c>
      <c r="W102">
        <v>114.9</v>
      </c>
      <c r="X102">
        <v>120.7</v>
      </c>
      <c r="Y102">
        <v>117.7</v>
      </c>
      <c r="Z102">
        <v>109.3</v>
      </c>
      <c r="AA102">
        <v>117.7</v>
      </c>
      <c r="AB102">
        <v>126.5</v>
      </c>
      <c r="AC102">
        <v>113.5</v>
      </c>
      <c r="AD102">
        <v>116.5</v>
      </c>
      <c r="AE102">
        <v>124.2</v>
      </c>
    </row>
    <row r="103" spans="1:31" x14ac:dyDescent="0.25">
      <c r="A103" t="s">
        <v>12</v>
      </c>
      <c r="B103">
        <v>2015</v>
      </c>
      <c r="C103" t="s">
        <v>21</v>
      </c>
      <c r="D103" t="str">
        <f t="shared" si="1"/>
        <v>2015OctoberRural+Urban</v>
      </c>
      <c r="E103">
        <v>125</v>
      </c>
      <c r="F103">
        <v>129.80000000000001</v>
      </c>
      <c r="G103">
        <v>118.9</v>
      </c>
      <c r="H103">
        <v>129.1</v>
      </c>
      <c r="I103">
        <v>113.3</v>
      </c>
      <c r="J103">
        <v>129</v>
      </c>
      <c r="K103">
        <v>160.4</v>
      </c>
      <c r="L103">
        <v>165.3</v>
      </c>
      <c r="M103">
        <v>92.3</v>
      </c>
      <c r="N103">
        <v>129.69999999999999</v>
      </c>
      <c r="O103">
        <v>121.1</v>
      </c>
      <c r="P103">
        <v>133</v>
      </c>
      <c r="Q103">
        <v>132.1</v>
      </c>
      <c r="R103">
        <v>132.5</v>
      </c>
      <c r="S103">
        <v>128.5</v>
      </c>
      <c r="T103">
        <v>123.8</v>
      </c>
      <c r="U103">
        <v>127.8</v>
      </c>
      <c r="V103">
        <v>122.4</v>
      </c>
      <c r="W103">
        <v>120.8</v>
      </c>
      <c r="X103">
        <v>123</v>
      </c>
      <c r="Y103">
        <v>120.4</v>
      </c>
      <c r="Z103">
        <v>111.4</v>
      </c>
      <c r="AA103">
        <v>118.7</v>
      </c>
      <c r="AB103">
        <v>125.9</v>
      </c>
      <c r="AC103">
        <v>113.9</v>
      </c>
      <c r="AD103">
        <v>117.9</v>
      </c>
      <c r="AE103">
        <v>126.1</v>
      </c>
    </row>
    <row r="104" spans="1:31" x14ac:dyDescent="0.25">
      <c r="A104" t="s">
        <v>9</v>
      </c>
      <c r="B104">
        <v>2015</v>
      </c>
      <c r="C104" t="s">
        <v>23</v>
      </c>
      <c r="D104" t="str">
        <f t="shared" si="1"/>
        <v>2015NovemberRural</v>
      </c>
      <c r="E104">
        <v>126.1</v>
      </c>
      <c r="F104">
        <v>130.6</v>
      </c>
      <c r="G104">
        <v>121.7</v>
      </c>
      <c r="H104">
        <v>129.5</v>
      </c>
      <c r="I104">
        <v>117.8</v>
      </c>
      <c r="J104">
        <v>132.1</v>
      </c>
      <c r="K104">
        <v>155.19999999999999</v>
      </c>
      <c r="L104">
        <v>160.80000000000001</v>
      </c>
      <c r="M104">
        <v>94.5</v>
      </c>
      <c r="N104">
        <v>128.30000000000001</v>
      </c>
      <c r="O104">
        <v>123.1</v>
      </c>
      <c r="P104">
        <v>134.19999999999999</v>
      </c>
      <c r="Q104">
        <v>132.4</v>
      </c>
      <c r="R104">
        <v>132.19999999999999</v>
      </c>
      <c r="S104">
        <v>132.1</v>
      </c>
      <c r="T104">
        <v>128.19999999999999</v>
      </c>
      <c r="U104">
        <v>131.5</v>
      </c>
      <c r="V104" t="s">
        <v>26</v>
      </c>
      <c r="W104">
        <v>125.6</v>
      </c>
      <c r="X104">
        <v>125.6</v>
      </c>
      <c r="Y104">
        <v>122.6</v>
      </c>
      <c r="Z104">
        <v>114</v>
      </c>
      <c r="AA104">
        <v>120.9</v>
      </c>
      <c r="AB104">
        <v>125.8</v>
      </c>
      <c r="AC104">
        <v>114.2</v>
      </c>
      <c r="AD104">
        <v>119.6</v>
      </c>
      <c r="AE104">
        <v>128.30000000000001</v>
      </c>
    </row>
    <row r="105" spans="1:31" x14ac:dyDescent="0.25">
      <c r="A105" t="s">
        <v>11</v>
      </c>
      <c r="B105">
        <v>2015</v>
      </c>
      <c r="C105" t="s">
        <v>23</v>
      </c>
      <c r="D105" t="str">
        <f t="shared" si="1"/>
        <v>2015NovemberUrban</v>
      </c>
      <c r="E105">
        <v>124</v>
      </c>
      <c r="F105">
        <v>129.80000000000001</v>
      </c>
      <c r="G105">
        <v>121.5</v>
      </c>
      <c r="H105">
        <v>128.6</v>
      </c>
      <c r="I105">
        <v>110</v>
      </c>
      <c r="J105">
        <v>123.7</v>
      </c>
      <c r="K105">
        <v>164.6</v>
      </c>
      <c r="L105">
        <v>191.6</v>
      </c>
      <c r="M105">
        <v>90.8</v>
      </c>
      <c r="N105">
        <v>137.1</v>
      </c>
      <c r="O105">
        <v>119.8</v>
      </c>
      <c r="P105">
        <v>133.69999999999999</v>
      </c>
      <c r="Q105">
        <v>133.30000000000001</v>
      </c>
      <c r="R105">
        <v>137.6</v>
      </c>
      <c r="S105">
        <v>125</v>
      </c>
      <c r="T105">
        <v>119.3</v>
      </c>
      <c r="U105">
        <v>124.2</v>
      </c>
      <c r="V105">
        <v>122.9</v>
      </c>
      <c r="W105">
        <v>115.1</v>
      </c>
      <c r="X105">
        <v>121</v>
      </c>
      <c r="Y105">
        <v>118.1</v>
      </c>
      <c r="Z105">
        <v>109.3</v>
      </c>
      <c r="AA105">
        <v>117.9</v>
      </c>
      <c r="AB105">
        <v>126.6</v>
      </c>
      <c r="AC105">
        <v>113.3</v>
      </c>
      <c r="AD105">
        <v>116.6</v>
      </c>
      <c r="AE105">
        <v>124.6</v>
      </c>
    </row>
    <row r="106" spans="1:31" x14ac:dyDescent="0.25">
      <c r="A106" t="s">
        <v>12</v>
      </c>
      <c r="B106">
        <v>2015</v>
      </c>
      <c r="C106" t="s">
        <v>23</v>
      </c>
      <c r="D106" t="str">
        <f t="shared" si="1"/>
        <v>2015NovemberRural+Urban</v>
      </c>
      <c r="E106">
        <v>125.4</v>
      </c>
      <c r="F106">
        <v>130.30000000000001</v>
      </c>
      <c r="G106">
        <v>121.6</v>
      </c>
      <c r="H106">
        <v>129.19999999999999</v>
      </c>
      <c r="I106">
        <v>114.9</v>
      </c>
      <c r="J106">
        <v>128.19999999999999</v>
      </c>
      <c r="K106">
        <v>158.4</v>
      </c>
      <c r="L106">
        <v>171.2</v>
      </c>
      <c r="M106">
        <v>93.3</v>
      </c>
      <c r="N106">
        <v>131.19999999999999</v>
      </c>
      <c r="O106">
        <v>121.7</v>
      </c>
      <c r="P106">
        <v>134</v>
      </c>
      <c r="Q106">
        <v>132.69999999999999</v>
      </c>
      <c r="R106">
        <v>133.6</v>
      </c>
      <c r="S106">
        <v>129.30000000000001</v>
      </c>
      <c r="T106">
        <v>124.5</v>
      </c>
      <c r="U106">
        <v>128.6</v>
      </c>
      <c r="V106">
        <v>122.9</v>
      </c>
      <c r="W106">
        <v>121.6</v>
      </c>
      <c r="X106">
        <v>123.4</v>
      </c>
      <c r="Y106">
        <v>120.9</v>
      </c>
      <c r="Z106">
        <v>111.5</v>
      </c>
      <c r="AA106">
        <v>119.2</v>
      </c>
      <c r="AB106">
        <v>126.3</v>
      </c>
      <c r="AC106">
        <v>113.8</v>
      </c>
      <c r="AD106">
        <v>118.1</v>
      </c>
      <c r="AE106">
        <v>126.6</v>
      </c>
    </row>
    <row r="107" spans="1:31" x14ac:dyDescent="0.25">
      <c r="A107" t="s">
        <v>9</v>
      </c>
      <c r="B107">
        <v>2015</v>
      </c>
      <c r="C107" t="s">
        <v>24</v>
      </c>
      <c r="D107" t="str">
        <f t="shared" si="1"/>
        <v>2015DecemberRural</v>
      </c>
      <c r="E107">
        <v>126.3</v>
      </c>
      <c r="F107">
        <v>131.30000000000001</v>
      </c>
      <c r="G107">
        <v>123.3</v>
      </c>
      <c r="H107">
        <v>129.80000000000001</v>
      </c>
      <c r="I107">
        <v>118.3</v>
      </c>
      <c r="J107">
        <v>131.6</v>
      </c>
      <c r="K107">
        <v>145.5</v>
      </c>
      <c r="L107">
        <v>162.1</v>
      </c>
      <c r="M107">
        <v>95.4</v>
      </c>
      <c r="N107">
        <v>128.9</v>
      </c>
      <c r="O107">
        <v>123.3</v>
      </c>
      <c r="P107">
        <v>135.1</v>
      </c>
      <c r="Q107">
        <v>131.4</v>
      </c>
      <c r="R107">
        <v>133.1</v>
      </c>
      <c r="S107">
        <v>132.5</v>
      </c>
      <c r="T107">
        <v>128.5</v>
      </c>
      <c r="U107">
        <v>131.9</v>
      </c>
      <c r="V107" t="s">
        <v>26</v>
      </c>
      <c r="W107">
        <v>125.7</v>
      </c>
      <c r="X107">
        <v>126</v>
      </c>
      <c r="Y107">
        <v>123.1</v>
      </c>
      <c r="Z107">
        <v>114</v>
      </c>
      <c r="AA107">
        <v>121.6</v>
      </c>
      <c r="AB107">
        <v>125.6</v>
      </c>
      <c r="AC107">
        <v>114.1</v>
      </c>
      <c r="AD107">
        <v>119.8</v>
      </c>
      <c r="AE107">
        <v>127.9</v>
      </c>
    </row>
    <row r="108" spans="1:31" x14ac:dyDescent="0.25">
      <c r="A108" t="s">
        <v>11</v>
      </c>
      <c r="B108">
        <v>2015</v>
      </c>
      <c r="C108" t="s">
        <v>24</v>
      </c>
      <c r="D108" t="str">
        <f t="shared" si="1"/>
        <v>2015DecemberUrban</v>
      </c>
      <c r="E108">
        <v>124.3</v>
      </c>
      <c r="F108">
        <v>131.69999999999999</v>
      </c>
      <c r="G108">
        <v>127.1</v>
      </c>
      <c r="H108">
        <v>128.6</v>
      </c>
      <c r="I108">
        <v>110</v>
      </c>
      <c r="J108">
        <v>120.8</v>
      </c>
      <c r="K108">
        <v>149</v>
      </c>
      <c r="L108">
        <v>190.1</v>
      </c>
      <c r="M108">
        <v>92.7</v>
      </c>
      <c r="N108">
        <v>138.6</v>
      </c>
      <c r="O108">
        <v>120.2</v>
      </c>
      <c r="P108">
        <v>134.19999999999999</v>
      </c>
      <c r="Q108">
        <v>131.5</v>
      </c>
      <c r="R108">
        <v>138.19999999999999</v>
      </c>
      <c r="S108">
        <v>125.4</v>
      </c>
      <c r="T108">
        <v>119.5</v>
      </c>
      <c r="U108">
        <v>124.5</v>
      </c>
      <c r="V108">
        <v>122.4</v>
      </c>
      <c r="W108">
        <v>116</v>
      </c>
      <c r="X108">
        <v>121</v>
      </c>
      <c r="Y108">
        <v>118.6</v>
      </c>
      <c r="Z108">
        <v>109.3</v>
      </c>
      <c r="AA108">
        <v>118.1</v>
      </c>
      <c r="AB108">
        <v>126.6</v>
      </c>
      <c r="AC108">
        <v>113.2</v>
      </c>
      <c r="AD108">
        <v>116.7</v>
      </c>
      <c r="AE108">
        <v>124</v>
      </c>
    </row>
    <row r="109" spans="1:31" x14ac:dyDescent="0.25">
      <c r="A109" t="s">
        <v>12</v>
      </c>
      <c r="B109">
        <v>2015</v>
      </c>
      <c r="C109" t="s">
        <v>24</v>
      </c>
      <c r="D109" t="str">
        <f t="shared" si="1"/>
        <v>2015DecemberRural+Urban</v>
      </c>
      <c r="E109">
        <v>125.7</v>
      </c>
      <c r="F109">
        <v>131.4</v>
      </c>
      <c r="G109">
        <v>124.8</v>
      </c>
      <c r="H109">
        <v>129.4</v>
      </c>
      <c r="I109">
        <v>115.3</v>
      </c>
      <c r="J109">
        <v>126.6</v>
      </c>
      <c r="K109">
        <v>146.69999999999999</v>
      </c>
      <c r="L109">
        <v>171.5</v>
      </c>
      <c r="M109">
        <v>94.5</v>
      </c>
      <c r="N109">
        <v>132.1</v>
      </c>
      <c r="O109">
        <v>122</v>
      </c>
      <c r="P109">
        <v>134.69999999999999</v>
      </c>
      <c r="Q109">
        <v>131.4</v>
      </c>
      <c r="R109">
        <v>134.5</v>
      </c>
      <c r="S109">
        <v>129.69999999999999</v>
      </c>
      <c r="T109">
        <v>124.8</v>
      </c>
      <c r="U109">
        <v>129</v>
      </c>
      <c r="V109">
        <v>122.4</v>
      </c>
      <c r="W109">
        <v>122</v>
      </c>
      <c r="X109">
        <v>123.6</v>
      </c>
      <c r="Y109">
        <v>121.4</v>
      </c>
      <c r="Z109">
        <v>111.5</v>
      </c>
      <c r="AA109">
        <v>119.6</v>
      </c>
      <c r="AB109">
        <v>126.2</v>
      </c>
      <c r="AC109">
        <v>113.7</v>
      </c>
      <c r="AD109">
        <v>118.3</v>
      </c>
      <c r="AE109">
        <v>126.1</v>
      </c>
    </row>
    <row r="110" spans="1:31" x14ac:dyDescent="0.25">
      <c r="A110" t="s">
        <v>9</v>
      </c>
      <c r="B110">
        <v>2016</v>
      </c>
      <c r="C110" t="s">
        <v>10</v>
      </c>
      <c r="D110" t="str">
        <f t="shared" si="1"/>
        <v>2016JanuaryRural</v>
      </c>
      <c r="E110">
        <v>126.8</v>
      </c>
      <c r="F110">
        <v>133.19999999999999</v>
      </c>
      <c r="G110">
        <v>126.5</v>
      </c>
      <c r="H110">
        <v>130.30000000000001</v>
      </c>
      <c r="I110">
        <v>118.9</v>
      </c>
      <c r="J110">
        <v>131.6</v>
      </c>
      <c r="K110">
        <v>140.1</v>
      </c>
      <c r="L110">
        <v>163.80000000000001</v>
      </c>
      <c r="M110">
        <v>97.7</v>
      </c>
      <c r="N110">
        <v>129.6</v>
      </c>
      <c r="O110">
        <v>124.3</v>
      </c>
      <c r="P110">
        <v>135.9</v>
      </c>
      <c r="Q110">
        <v>131.4</v>
      </c>
      <c r="R110">
        <v>133.6</v>
      </c>
      <c r="S110">
        <v>133.19999999999999</v>
      </c>
      <c r="T110">
        <v>128.9</v>
      </c>
      <c r="U110">
        <v>132.6</v>
      </c>
      <c r="V110" t="s">
        <v>26</v>
      </c>
      <c r="W110">
        <v>126.2</v>
      </c>
      <c r="X110">
        <v>126.6</v>
      </c>
      <c r="Y110">
        <v>123.7</v>
      </c>
      <c r="Z110">
        <v>113.6</v>
      </c>
      <c r="AA110">
        <v>121.4</v>
      </c>
      <c r="AB110">
        <v>126.2</v>
      </c>
      <c r="AC110">
        <v>114.9</v>
      </c>
      <c r="AD110">
        <v>120.1</v>
      </c>
      <c r="AE110">
        <v>128.1</v>
      </c>
    </row>
    <row r="111" spans="1:31" x14ac:dyDescent="0.25">
      <c r="A111" t="s">
        <v>11</v>
      </c>
      <c r="B111">
        <v>2016</v>
      </c>
      <c r="C111" t="s">
        <v>10</v>
      </c>
      <c r="D111" t="str">
        <f t="shared" si="1"/>
        <v>2016JanuaryUrban</v>
      </c>
      <c r="E111">
        <v>124.7</v>
      </c>
      <c r="F111">
        <v>135.9</v>
      </c>
      <c r="G111">
        <v>132</v>
      </c>
      <c r="H111">
        <v>129.19999999999999</v>
      </c>
      <c r="I111">
        <v>109.7</v>
      </c>
      <c r="J111">
        <v>119</v>
      </c>
      <c r="K111">
        <v>144.1</v>
      </c>
      <c r="L111">
        <v>184.2</v>
      </c>
      <c r="M111">
        <v>96.7</v>
      </c>
      <c r="N111">
        <v>139.5</v>
      </c>
      <c r="O111">
        <v>120.5</v>
      </c>
      <c r="P111">
        <v>134.69999999999999</v>
      </c>
      <c r="Q111">
        <v>131.19999999999999</v>
      </c>
      <c r="R111">
        <v>139.5</v>
      </c>
      <c r="S111">
        <v>125.8</v>
      </c>
      <c r="T111">
        <v>119.8</v>
      </c>
      <c r="U111">
        <v>124.9</v>
      </c>
      <c r="V111">
        <v>123.4</v>
      </c>
      <c r="W111">
        <v>116.9</v>
      </c>
      <c r="X111">
        <v>121.6</v>
      </c>
      <c r="Y111">
        <v>119.1</v>
      </c>
      <c r="Z111">
        <v>108.9</v>
      </c>
      <c r="AA111">
        <v>118.5</v>
      </c>
      <c r="AB111">
        <v>126.4</v>
      </c>
      <c r="AC111">
        <v>114</v>
      </c>
      <c r="AD111">
        <v>116.8</v>
      </c>
      <c r="AE111">
        <v>124.2</v>
      </c>
    </row>
    <row r="112" spans="1:31" x14ac:dyDescent="0.25">
      <c r="A112" t="s">
        <v>12</v>
      </c>
      <c r="B112">
        <v>2016</v>
      </c>
      <c r="C112" t="s">
        <v>10</v>
      </c>
      <c r="D112" t="str">
        <f t="shared" si="1"/>
        <v>2016JanuaryRural+Urban</v>
      </c>
      <c r="E112">
        <v>126.1</v>
      </c>
      <c r="F112">
        <v>134.1</v>
      </c>
      <c r="G112">
        <v>128.6</v>
      </c>
      <c r="H112">
        <v>129.9</v>
      </c>
      <c r="I112">
        <v>115.5</v>
      </c>
      <c r="J112">
        <v>125.7</v>
      </c>
      <c r="K112">
        <v>141.5</v>
      </c>
      <c r="L112">
        <v>170.7</v>
      </c>
      <c r="M112">
        <v>97.4</v>
      </c>
      <c r="N112">
        <v>132.9</v>
      </c>
      <c r="O112">
        <v>122.7</v>
      </c>
      <c r="P112">
        <v>135.30000000000001</v>
      </c>
      <c r="Q112">
        <v>131.30000000000001</v>
      </c>
      <c r="R112">
        <v>135.19999999999999</v>
      </c>
      <c r="S112">
        <v>130.30000000000001</v>
      </c>
      <c r="T112">
        <v>125.1</v>
      </c>
      <c r="U112">
        <v>129.5</v>
      </c>
      <c r="V112">
        <v>123.4</v>
      </c>
      <c r="W112">
        <v>122.7</v>
      </c>
      <c r="X112">
        <v>124.2</v>
      </c>
      <c r="Y112">
        <v>122</v>
      </c>
      <c r="Z112">
        <v>111.1</v>
      </c>
      <c r="AA112">
        <v>119.8</v>
      </c>
      <c r="AB112">
        <v>126.3</v>
      </c>
      <c r="AC112">
        <v>114.5</v>
      </c>
      <c r="AD112">
        <v>118.5</v>
      </c>
      <c r="AE112">
        <v>126.3</v>
      </c>
    </row>
    <row r="113" spans="1:31" x14ac:dyDescent="0.25">
      <c r="A113" t="s">
        <v>9</v>
      </c>
      <c r="B113">
        <v>2016</v>
      </c>
      <c r="C113" t="s">
        <v>13</v>
      </c>
      <c r="D113" t="str">
        <f t="shared" si="1"/>
        <v>2016FebruaryRural</v>
      </c>
      <c r="E113">
        <v>127.1</v>
      </c>
      <c r="F113">
        <v>133.69999999999999</v>
      </c>
      <c r="G113">
        <v>127.7</v>
      </c>
      <c r="H113">
        <v>130.69999999999999</v>
      </c>
      <c r="I113">
        <v>118.5</v>
      </c>
      <c r="J113">
        <v>130.4</v>
      </c>
      <c r="K113">
        <v>130.9</v>
      </c>
      <c r="L113">
        <v>162.80000000000001</v>
      </c>
      <c r="M113">
        <v>98.7</v>
      </c>
      <c r="N113">
        <v>130.6</v>
      </c>
      <c r="O113">
        <v>124.8</v>
      </c>
      <c r="P113">
        <v>136.4</v>
      </c>
      <c r="Q113">
        <v>130.30000000000001</v>
      </c>
      <c r="R113">
        <v>134.4</v>
      </c>
      <c r="S113">
        <v>133.9</v>
      </c>
      <c r="T113">
        <v>129.80000000000001</v>
      </c>
      <c r="U113">
        <v>133.4</v>
      </c>
      <c r="V113" t="s">
        <v>26</v>
      </c>
      <c r="W113">
        <v>127.5</v>
      </c>
      <c r="X113">
        <v>127.1</v>
      </c>
      <c r="Y113">
        <v>124.3</v>
      </c>
      <c r="Z113">
        <v>113.9</v>
      </c>
      <c r="AA113">
        <v>122.3</v>
      </c>
      <c r="AB113">
        <v>127.1</v>
      </c>
      <c r="AC113">
        <v>116.8</v>
      </c>
      <c r="AD113">
        <v>120.9</v>
      </c>
      <c r="AE113">
        <v>127.9</v>
      </c>
    </row>
    <row r="114" spans="1:31" x14ac:dyDescent="0.25">
      <c r="A114" t="s">
        <v>11</v>
      </c>
      <c r="B114">
        <v>2016</v>
      </c>
      <c r="C114" t="s">
        <v>13</v>
      </c>
      <c r="D114" t="str">
        <f t="shared" si="1"/>
        <v>2016FebruaryUrban</v>
      </c>
      <c r="E114">
        <v>124.8</v>
      </c>
      <c r="F114">
        <v>135.1</v>
      </c>
      <c r="G114">
        <v>130.30000000000001</v>
      </c>
      <c r="H114">
        <v>129.6</v>
      </c>
      <c r="I114">
        <v>108.4</v>
      </c>
      <c r="J114">
        <v>118.6</v>
      </c>
      <c r="K114">
        <v>129.19999999999999</v>
      </c>
      <c r="L114">
        <v>176.4</v>
      </c>
      <c r="M114">
        <v>99.1</v>
      </c>
      <c r="N114">
        <v>139.69999999999999</v>
      </c>
      <c r="O114">
        <v>120.6</v>
      </c>
      <c r="P114">
        <v>135.19999999999999</v>
      </c>
      <c r="Q114">
        <v>129.1</v>
      </c>
      <c r="R114">
        <v>140</v>
      </c>
      <c r="S114">
        <v>126.2</v>
      </c>
      <c r="T114">
        <v>120.1</v>
      </c>
      <c r="U114">
        <v>125.3</v>
      </c>
      <c r="V114">
        <v>124.4</v>
      </c>
      <c r="W114">
        <v>116</v>
      </c>
      <c r="X114">
        <v>121.8</v>
      </c>
      <c r="Y114">
        <v>119.5</v>
      </c>
      <c r="Z114">
        <v>109.1</v>
      </c>
      <c r="AA114">
        <v>118.8</v>
      </c>
      <c r="AB114">
        <v>126.3</v>
      </c>
      <c r="AC114">
        <v>116.2</v>
      </c>
      <c r="AD114">
        <v>117.2</v>
      </c>
      <c r="AE114">
        <v>123.8</v>
      </c>
    </row>
    <row r="115" spans="1:31" x14ac:dyDescent="0.25">
      <c r="A115" t="s">
        <v>12</v>
      </c>
      <c r="B115">
        <v>2016</v>
      </c>
      <c r="C115" t="s">
        <v>13</v>
      </c>
      <c r="D115" t="str">
        <f t="shared" si="1"/>
        <v>2016FebruaryRural+Urban</v>
      </c>
      <c r="E115">
        <v>126.4</v>
      </c>
      <c r="F115">
        <v>134.19999999999999</v>
      </c>
      <c r="G115">
        <v>128.69999999999999</v>
      </c>
      <c r="H115">
        <v>130.30000000000001</v>
      </c>
      <c r="I115">
        <v>114.8</v>
      </c>
      <c r="J115">
        <v>124.9</v>
      </c>
      <c r="K115">
        <v>130.30000000000001</v>
      </c>
      <c r="L115">
        <v>167.4</v>
      </c>
      <c r="M115">
        <v>98.8</v>
      </c>
      <c r="N115">
        <v>133.6</v>
      </c>
      <c r="O115">
        <v>123</v>
      </c>
      <c r="P115">
        <v>135.80000000000001</v>
      </c>
      <c r="Q115">
        <v>129.9</v>
      </c>
      <c r="R115">
        <v>135.9</v>
      </c>
      <c r="S115">
        <v>130.9</v>
      </c>
      <c r="T115">
        <v>125.8</v>
      </c>
      <c r="U115">
        <v>130.19999999999999</v>
      </c>
      <c r="V115">
        <v>124.4</v>
      </c>
      <c r="W115">
        <v>123.1</v>
      </c>
      <c r="X115">
        <v>124.6</v>
      </c>
      <c r="Y115">
        <v>122.5</v>
      </c>
      <c r="Z115">
        <v>111.4</v>
      </c>
      <c r="AA115">
        <v>120.3</v>
      </c>
      <c r="AB115">
        <v>126.6</v>
      </c>
      <c r="AC115">
        <v>116.6</v>
      </c>
      <c r="AD115">
        <v>119.1</v>
      </c>
      <c r="AE115">
        <v>126</v>
      </c>
    </row>
    <row r="116" spans="1:31" x14ac:dyDescent="0.25">
      <c r="A116" t="s">
        <v>9</v>
      </c>
      <c r="B116">
        <v>2016</v>
      </c>
      <c r="C116" t="s">
        <v>15</v>
      </c>
      <c r="D116" t="str">
        <f t="shared" si="1"/>
        <v>2016MarchRural</v>
      </c>
      <c r="E116">
        <v>127.3</v>
      </c>
      <c r="F116">
        <v>134.4</v>
      </c>
      <c r="G116">
        <v>125.1</v>
      </c>
      <c r="H116">
        <v>130.5</v>
      </c>
      <c r="I116">
        <v>118.3</v>
      </c>
      <c r="J116">
        <v>131.69999999999999</v>
      </c>
      <c r="K116">
        <v>130.69999999999999</v>
      </c>
      <c r="L116">
        <v>161.19999999999999</v>
      </c>
      <c r="M116">
        <v>100.4</v>
      </c>
      <c r="N116">
        <v>130.80000000000001</v>
      </c>
      <c r="O116">
        <v>124.9</v>
      </c>
      <c r="P116">
        <v>137</v>
      </c>
      <c r="Q116">
        <v>130.4</v>
      </c>
      <c r="R116">
        <v>135</v>
      </c>
      <c r="S116">
        <v>134.4</v>
      </c>
      <c r="T116">
        <v>130.19999999999999</v>
      </c>
      <c r="U116">
        <v>133.80000000000001</v>
      </c>
      <c r="V116" t="s">
        <v>26</v>
      </c>
      <c r="W116">
        <v>127</v>
      </c>
      <c r="X116">
        <v>127.7</v>
      </c>
      <c r="Y116">
        <v>124.8</v>
      </c>
      <c r="Z116">
        <v>113.6</v>
      </c>
      <c r="AA116">
        <v>122.5</v>
      </c>
      <c r="AB116">
        <v>127.5</v>
      </c>
      <c r="AC116">
        <v>117.4</v>
      </c>
      <c r="AD116">
        <v>121.1</v>
      </c>
      <c r="AE116">
        <v>128</v>
      </c>
    </row>
    <row r="117" spans="1:31" x14ac:dyDescent="0.25">
      <c r="A117" t="s">
        <v>11</v>
      </c>
      <c r="B117">
        <v>2016</v>
      </c>
      <c r="C117" t="s">
        <v>15</v>
      </c>
      <c r="D117" t="str">
        <f t="shared" si="1"/>
        <v>2016MarchUrban</v>
      </c>
      <c r="E117">
        <v>124.8</v>
      </c>
      <c r="F117">
        <v>136.30000000000001</v>
      </c>
      <c r="G117">
        <v>123.7</v>
      </c>
      <c r="H117">
        <v>129.69999999999999</v>
      </c>
      <c r="I117">
        <v>107.9</v>
      </c>
      <c r="J117">
        <v>119.9</v>
      </c>
      <c r="K117">
        <v>128.1</v>
      </c>
      <c r="L117">
        <v>170.3</v>
      </c>
      <c r="M117">
        <v>101.8</v>
      </c>
      <c r="N117">
        <v>140.1</v>
      </c>
      <c r="O117">
        <v>120.7</v>
      </c>
      <c r="P117">
        <v>135.4</v>
      </c>
      <c r="Q117">
        <v>128.9</v>
      </c>
      <c r="R117">
        <v>140.6</v>
      </c>
      <c r="S117">
        <v>126.4</v>
      </c>
      <c r="T117">
        <v>120.3</v>
      </c>
      <c r="U117">
        <v>125.5</v>
      </c>
      <c r="V117">
        <v>124.9</v>
      </c>
      <c r="W117">
        <v>114.8</v>
      </c>
      <c r="X117">
        <v>122.3</v>
      </c>
      <c r="Y117">
        <v>119.7</v>
      </c>
      <c r="Z117">
        <v>108.5</v>
      </c>
      <c r="AA117">
        <v>119.1</v>
      </c>
      <c r="AB117">
        <v>126.4</v>
      </c>
      <c r="AC117">
        <v>117.1</v>
      </c>
      <c r="AD117">
        <v>117.3</v>
      </c>
      <c r="AE117">
        <v>123.8</v>
      </c>
    </row>
    <row r="118" spans="1:31" x14ac:dyDescent="0.25">
      <c r="A118" t="s">
        <v>12</v>
      </c>
      <c r="B118">
        <v>2016</v>
      </c>
      <c r="C118" t="s">
        <v>15</v>
      </c>
      <c r="D118" t="str">
        <f t="shared" si="1"/>
        <v>2016MarchRural+Urban</v>
      </c>
      <c r="E118">
        <v>126.5</v>
      </c>
      <c r="F118">
        <v>135.1</v>
      </c>
      <c r="G118">
        <v>124.6</v>
      </c>
      <c r="H118">
        <v>130.19999999999999</v>
      </c>
      <c r="I118">
        <v>114.5</v>
      </c>
      <c r="J118">
        <v>126.2</v>
      </c>
      <c r="K118">
        <v>129.80000000000001</v>
      </c>
      <c r="L118">
        <v>164.3</v>
      </c>
      <c r="M118">
        <v>100.9</v>
      </c>
      <c r="N118">
        <v>133.9</v>
      </c>
      <c r="O118">
        <v>123.1</v>
      </c>
      <c r="P118">
        <v>136.30000000000001</v>
      </c>
      <c r="Q118">
        <v>129.80000000000001</v>
      </c>
      <c r="R118">
        <v>136.5</v>
      </c>
      <c r="S118">
        <v>131.30000000000001</v>
      </c>
      <c r="T118">
        <v>126.1</v>
      </c>
      <c r="U118">
        <v>130.5</v>
      </c>
      <c r="V118">
        <v>124.9</v>
      </c>
      <c r="W118">
        <v>122.4</v>
      </c>
      <c r="X118">
        <v>125.1</v>
      </c>
      <c r="Y118">
        <v>122.9</v>
      </c>
      <c r="Z118">
        <v>110.9</v>
      </c>
      <c r="AA118">
        <v>120.6</v>
      </c>
      <c r="AB118">
        <v>126.9</v>
      </c>
      <c r="AC118">
        <v>117.3</v>
      </c>
      <c r="AD118">
        <v>119.3</v>
      </c>
      <c r="AE118">
        <v>126</v>
      </c>
    </row>
    <row r="119" spans="1:31" x14ac:dyDescent="0.25">
      <c r="A119" t="s">
        <v>9</v>
      </c>
      <c r="B119">
        <v>2016</v>
      </c>
      <c r="C119" t="s">
        <v>16</v>
      </c>
      <c r="D119" t="str">
        <f t="shared" si="1"/>
        <v>2016AprilRural</v>
      </c>
      <c r="E119">
        <v>127.4</v>
      </c>
      <c r="F119">
        <v>135.4</v>
      </c>
      <c r="G119">
        <v>123.4</v>
      </c>
      <c r="H119">
        <v>131.30000000000001</v>
      </c>
      <c r="I119">
        <v>118.2</v>
      </c>
      <c r="J119">
        <v>138.1</v>
      </c>
      <c r="K119">
        <v>134.1</v>
      </c>
      <c r="L119">
        <v>162.69999999999999</v>
      </c>
      <c r="M119">
        <v>105</v>
      </c>
      <c r="N119">
        <v>131.4</v>
      </c>
      <c r="O119">
        <v>125.4</v>
      </c>
      <c r="P119">
        <v>137.4</v>
      </c>
      <c r="Q119">
        <v>131.80000000000001</v>
      </c>
      <c r="R119">
        <v>135.5</v>
      </c>
      <c r="S119">
        <v>135</v>
      </c>
      <c r="T119">
        <v>130.6</v>
      </c>
      <c r="U119">
        <v>134.4</v>
      </c>
      <c r="V119" t="s">
        <v>26</v>
      </c>
      <c r="W119">
        <v>127</v>
      </c>
      <c r="X119">
        <v>128</v>
      </c>
      <c r="Y119">
        <v>125.2</v>
      </c>
      <c r="Z119">
        <v>114.4</v>
      </c>
      <c r="AA119">
        <v>123.2</v>
      </c>
      <c r="AB119">
        <v>127.9</v>
      </c>
      <c r="AC119">
        <v>118.4</v>
      </c>
      <c r="AD119">
        <v>121.7</v>
      </c>
      <c r="AE119">
        <v>129</v>
      </c>
    </row>
    <row r="120" spans="1:31" x14ac:dyDescent="0.25">
      <c r="A120" t="s">
        <v>11</v>
      </c>
      <c r="B120">
        <v>2016</v>
      </c>
      <c r="C120" t="s">
        <v>16</v>
      </c>
      <c r="D120" t="str">
        <f t="shared" si="1"/>
        <v>2016AprilUrban</v>
      </c>
      <c r="E120">
        <v>124.9</v>
      </c>
      <c r="F120">
        <v>139.30000000000001</v>
      </c>
      <c r="G120">
        <v>119.9</v>
      </c>
      <c r="H120">
        <v>130.19999999999999</v>
      </c>
      <c r="I120">
        <v>108.9</v>
      </c>
      <c r="J120">
        <v>131.1</v>
      </c>
      <c r="K120">
        <v>136.80000000000001</v>
      </c>
      <c r="L120">
        <v>176.9</v>
      </c>
      <c r="M120">
        <v>109.1</v>
      </c>
      <c r="N120">
        <v>140.4</v>
      </c>
      <c r="O120">
        <v>121.1</v>
      </c>
      <c r="P120">
        <v>135.9</v>
      </c>
      <c r="Q120">
        <v>131.80000000000001</v>
      </c>
      <c r="R120">
        <v>141.5</v>
      </c>
      <c r="S120">
        <v>126.8</v>
      </c>
      <c r="T120">
        <v>120.5</v>
      </c>
      <c r="U120">
        <v>125.8</v>
      </c>
      <c r="V120">
        <v>125.6</v>
      </c>
      <c r="W120">
        <v>114.6</v>
      </c>
      <c r="X120">
        <v>122.8</v>
      </c>
      <c r="Y120">
        <v>120</v>
      </c>
      <c r="Z120">
        <v>110</v>
      </c>
      <c r="AA120">
        <v>119.5</v>
      </c>
      <c r="AB120">
        <v>127.6</v>
      </c>
      <c r="AC120">
        <v>117.6</v>
      </c>
      <c r="AD120">
        <v>118.2</v>
      </c>
      <c r="AE120">
        <v>125.3</v>
      </c>
    </row>
    <row r="121" spans="1:31" x14ac:dyDescent="0.25">
      <c r="A121" t="s">
        <v>12</v>
      </c>
      <c r="B121">
        <v>2016</v>
      </c>
      <c r="C121" t="s">
        <v>16</v>
      </c>
      <c r="D121" t="str">
        <f t="shared" si="1"/>
        <v>2016AprilRural+Urban</v>
      </c>
      <c r="E121">
        <v>126.6</v>
      </c>
      <c r="F121">
        <v>136.80000000000001</v>
      </c>
      <c r="G121">
        <v>122</v>
      </c>
      <c r="H121">
        <v>130.9</v>
      </c>
      <c r="I121">
        <v>114.8</v>
      </c>
      <c r="J121">
        <v>134.80000000000001</v>
      </c>
      <c r="K121">
        <v>135</v>
      </c>
      <c r="L121">
        <v>167.5</v>
      </c>
      <c r="M121">
        <v>106.4</v>
      </c>
      <c r="N121">
        <v>134.4</v>
      </c>
      <c r="O121">
        <v>123.6</v>
      </c>
      <c r="P121">
        <v>136.69999999999999</v>
      </c>
      <c r="Q121">
        <v>131.80000000000001</v>
      </c>
      <c r="R121">
        <v>137.1</v>
      </c>
      <c r="S121">
        <v>131.80000000000001</v>
      </c>
      <c r="T121">
        <v>126.4</v>
      </c>
      <c r="U121">
        <v>131</v>
      </c>
      <c r="V121">
        <v>125.6</v>
      </c>
      <c r="W121">
        <v>122.3</v>
      </c>
      <c r="X121">
        <v>125.5</v>
      </c>
      <c r="Y121">
        <v>123.2</v>
      </c>
      <c r="Z121">
        <v>112.1</v>
      </c>
      <c r="AA121">
        <v>121.1</v>
      </c>
      <c r="AB121">
        <v>127.7</v>
      </c>
      <c r="AC121">
        <v>118.1</v>
      </c>
      <c r="AD121">
        <v>120</v>
      </c>
      <c r="AE121">
        <v>127.3</v>
      </c>
    </row>
    <row r="122" spans="1:31" x14ac:dyDescent="0.25">
      <c r="A122" t="s">
        <v>9</v>
      </c>
      <c r="B122">
        <v>2016</v>
      </c>
      <c r="C122" t="s">
        <v>14</v>
      </c>
      <c r="D122" t="str">
        <f t="shared" si="1"/>
        <v>2016MayRural</v>
      </c>
      <c r="E122">
        <v>127.6</v>
      </c>
      <c r="F122">
        <v>137.5</v>
      </c>
      <c r="G122">
        <v>124.4</v>
      </c>
      <c r="H122">
        <v>132.4</v>
      </c>
      <c r="I122">
        <v>118.2</v>
      </c>
      <c r="J122">
        <v>138.1</v>
      </c>
      <c r="K122">
        <v>141.80000000000001</v>
      </c>
      <c r="L122">
        <v>166</v>
      </c>
      <c r="M122">
        <v>107.5</v>
      </c>
      <c r="N122">
        <v>132.19999999999999</v>
      </c>
      <c r="O122">
        <v>126.1</v>
      </c>
      <c r="P122">
        <v>138.30000000000001</v>
      </c>
      <c r="Q122">
        <v>133.6</v>
      </c>
      <c r="R122">
        <v>136</v>
      </c>
      <c r="S122">
        <v>135.4</v>
      </c>
      <c r="T122">
        <v>131.1</v>
      </c>
      <c r="U122">
        <v>134.80000000000001</v>
      </c>
      <c r="V122" t="s">
        <v>26</v>
      </c>
      <c r="W122">
        <v>127.4</v>
      </c>
      <c r="X122">
        <v>128.5</v>
      </c>
      <c r="Y122">
        <v>125.8</v>
      </c>
      <c r="Z122">
        <v>115.1</v>
      </c>
      <c r="AA122">
        <v>123.6</v>
      </c>
      <c r="AB122">
        <v>129.1</v>
      </c>
      <c r="AC122">
        <v>119.7</v>
      </c>
      <c r="AD122">
        <v>122.5</v>
      </c>
      <c r="AE122">
        <v>130.30000000000001</v>
      </c>
    </row>
    <row r="123" spans="1:31" x14ac:dyDescent="0.25">
      <c r="A123" t="s">
        <v>11</v>
      </c>
      <c r="B123">
        <v>2016</v>
      </c>
      <c r="C123" t="s">
        <v>14</v>
      </c>
      <c r="D123" t="str">
        <f t="shared" si="1"/>
        <v>2016MayUrban</v>
      </c>
      <c r="E123">
        <v>125</v>
      </c>
      <c r="F123">
        <v>142.1</v>
      </c>
      <c r="G123">
        <v>127</v>
      </c>
      <c r="H123">
        <v>130.4</v>
      </c>
      <c r="I123">
        <v>109.6</v>
      </c>
      <c r="J123">
        <v>133.5</v>
      </c>
      <c r="K123">
        <v>151.4</v>
      </c>
      <c r="L123">
        <v>182.8</v>
      </c>
      <c r="M123">
        <v>111.1</v>
      </c>
      <c r="N123">
        <v>141.5</v>
      </c>
      <c r="O123">
        <v>121.5</v>
      </c>
      <c r="P123">
        <v>136.30000000000001</v>
      </c>
      <c r="Q123">
        <v>134.6</v>
      </c>
      <c r="R123">
        <v>142.19999999999999</v>
      </c>
      <c r="S123">
        <v>127.2</v>
      </c>
      <c r="T123">
        <v>120.7</v>
      </c>
      <c r="U123">
        <v>126.2</v>
      </c>
      <c r="V123">
        <v>126</v>
      </c>
      <c r="W123">
        <v>115</v>
      </c>
      <c r="X123">
        <v>123.2</v>
      </c>
      <c r="Y123">
        <v>120.3</v>
      </c>
      <c r="Z123">
        <v>110.7</v>
      </c>
      <c r="AA123">
        <v>119.8</v>
      </c>
      <c r="AB123">
        <v>128</v>
      </c>
      <c r="AC123">
        <v>118.5</v>
      </c>
      <c r="AD123">
        <v>118.7</v>
      </c>
      <c r="AE123">
        <v>126.6</v>
      </c>
    </row>
    <row r="124" spans="1:31" x14ac:dyDescent="0.25">
      <c r="A124" t="s">
        <v>12</v>
      </c>
      <c r="B124">
        <v>2016</v>
      </c>
      <c r="C124" t="s">
        <v>14</v>
      </c>
      <c r="D124" t="str">
        <f t="shared" si="1"/>
        <v>2016MayRural+Urban</v>
      </c>
      <c r="E124">
        <v>126.8</v>
      </c>
      <c r="F124">
        <v>139.1</v>
      </c>
      <c r="G124">
        <v>125.4</v>
      </c>
      <c r="H124">
        <v>131.69999999999999</v>
      </c>
      <c r="I124">
        <v>115</v>
      </c>
      <c r="J124">
        <v>136</v>
      </c>
      <c r="K124">
        <v>145.1</v>
      </c>
      <c r="L124">
        <v>171.7</v>
      </c>
      <c r="M124">
        <v>108.7</v>
      </c>
      <c r="N124">
        <v>135.30000000000001</v>
      </c>
      <c r="O124">
        <v>124.2</v>
      </c>
      <c r="P124">
        <v>137.4</v>
      </c>
      <c r="Q124">
        <v>134</v>
      </c>
      <c r="R124">
        <v>137.69999999999999</v>
      </c>
      <c r="S124">
        <v>132.19999999999999</v>
      </c>
      <c r="T124">
        <v>126.8</v>
      </c>
      <c r="U124">
        <v>131.4</v>
      </c>
      <c r="V124">
        <v>126</v>
      </c>
      <c r="W124">
        <v>122.7</v>
      </c>
      <c r="X124">
        <v>126</v>
      </c>
      <c r="Y124">
        <v>123.7</v>
      </c>
      <c r="Z124">
        <v>112.8</v>
      </c>
      <c r="AA124">
        <v>121.5</v>
      </c>
      <c r="AB124">
        <v>128.5</v>
      </c>
      <c r="AC124">
        <v>119.2</v>
      </c>
      <c r="AD124">
        <v>120.7</v>
      </c>
      <c r="AE124">
        <v>128.6</v>
      </c>
    </row>
    <row r="125" spans="1:31" x14ac:dyDescent="0.25">
      <c r="A125" t="s">
        <v>9</v>
      </c>
      <c r="B125">
        <v>2016</v>
      </c>
      <c r="C125" t="s">
        <v>17</v>
      </c>
      <c r="D125" t="str">
        <f t="shared" si="1"/>
        <v>2016JuneRural</v>
      </c>
      <c r="E125">
        <v>128.6</v>
      </c>
      <c r="F125">
        <v>138.6</v>
      </c>
      <c r="G125">
        <v>126.6</v>
      </c>
      <c r="H125">
        <v>133.6</v>
      </c>
      <c r="I125">
        <v>118.6</v>
      </c>
      <c r="J125">
        <v>137.4</v>
      </c>
      <c r="K125">
        <v>152.5</v>
      </c>
      <c r="L125">
        <v>169.2</v>
      </c>
      <c r="M125">
        <v>108.8</v>
      </c>
      <c r="N125">
        <v>133.1</v>
      </c>
      <c r="O125">
        <v>126.4</v>
      </c>
      <c r="P125">
        <v>139.19999999999999</v>
      </c>
      <c r="Q125">
        <v>136</v>
      </c>
      <c r="R125">
        <v>137.19999999999999</v>
      </c>
      <c r="S125">
        <v>136.30000000000001</v>
      </c>
      <c r="T125">
        <v>131.6</v>
      </c>
      <c r="U125">
        <v>135.6</v>
      </c>
      <c r="V125" t="s">
        <v>26</v>
      </c>
      <c r="W125">
        <v>128</v>
      </c>
      <c r="X125">
        <v>129.30000000000001</v>
      </c>
      <c r="Y125">
        <v>126.2</v>
      </c>
      <c r="Z125">
        <v>116.3</v>
      </c>
      <c r="AA125">
        <v>124.1</v>
      </c>
      <c r="AB125">
        <v>130.19999999999999</v>
      </c>
      <c r="AC125">
        <v>119.9</v>
      </c>
      <c r="AD125">
        <v>123.3</v>
      </c>
      <c r="AE125">
        <v>131.9</v>
      </c>
    </row>
    <row r="126" spans="1:31" x14ac:dyDescent="0.25">
      <c r="A126" t="s">
        <v>11</v>
      </c>
      <c r="B126">
        <v>2016</v>
      </c>
      <c r="C126" t="s">
        <v>17</v>
      </c>
      <c r="D126" t="str">
        <f t="shared" si="1"/>
        <v>2016JuneUrban</v>
      </c>
      <c r="E126">
        <v>125.9</v>
      </c>
      <c r="F126">
        <v>143.9</v>
      </c>
      <c r="G126">
        <v>130.9</v>
      </c>
      <c r="H126">
        <v>131</v>
      </c>
      <c r="I126">
        <v>110.2</v>
      </c>
      <c r="J126">
        <v>135.5</v>
      </c>
      <c r="K126">
        <v>173.7</v>
      </c>
      <c r="L126">
        <v>184.4</v>
      </c>
      <c r="M126">
        <v>112</v>
      </c>
      <c r="N126">
        <v>142.80000000000001</v>
      </c>
      <c r="O126">
        <v>121.6</v>
      </c>
      <c r="P126">
        <v>136.9</v>
      </c>
      <c r="Q126">
        <v>138.19999999999999</v>
      </c>
      <c r="R126">
        <v>142.69999999999999</v>
      </c>
      <c r="S126">
        <v>127.6</v>
      </c>
      <c r="T126">
        <v>121.1</v>
      </c>
      <c r="U126">
        <v>126.6</v>
      </c>
      <c r="V126">
        <v>125.5</v>
      </c>
      <c r="W126">
        <v>115.5</v>
      </c>
      <c r="X126">
        <v>123.2</v>
      </c>
      <c r="Y126">
        <v>120.6</v>
      </c>
      <c r="Z126">
        <v>112.3</v>
      </c>
      <c r="AA126">
        <v>119.9</v>
      </c>
      <c r="AB126">
        <v>129.30000000000001</v>
      </c>
      <c r="AC126">
        <v>118.8</v>
      </c>
      <c r="AD126">
        <v>119.6</v>
      </c>
      <c r="AE126">
        <v>128.1</v>
      </c>
    </row>
    <row r="127" spans="1:31" x14ac:dyDescent="0.25">
      <c r="A127" t="s">
        <v>12</v>
      </c>
      <c r="B127">
        <v>2016</v>
      </c>
      <c r="C127" t="s">
        <v>17</v>
      </c>
      <c r="D127" t="str">
        <f t="shared" si="1"/>
        <v>2016JuneRural+Urban</v>
      </c>
      <c r="E127">
        <v>127.7</v>
      </c>
      <c r="F127">
        <v>140.5</v>
      </c>
      <c r="G127">
        <v>128.30000000000001</v>
      </c>
      <c r="H127">
        <v>132.6</v>
      </c>
      <c r="I127">
        <v>115.5</v>
      </c>
      <c r="J127">
        <v>136.5</v>
      </c>
      <c r="K127">
        <v>159.69999999999999</v>
      </c>
      <c r="L127">
        <v>174.3</v>
      </c>
      <c r="M127">
        <v>109.9</v>
      </c>
      <c r="N127">
        <v>136.30000000000001</v>
      </c>
      <c r="O127">
        <v>124.4</v>
      </c>
      <c r="P127">
        <v>138.1</v>
      </c>
      <c r="Q127">
        <v>136.80000000000001</v>
      </c>
      <c r="R127">
        <v>138.69999999999999</v>
      </c>
      <c r="S127">
        <v>132.9</v>
      </c>
      <c r="T127">
        <v>127.2</v>
      </c>
      <c r="U127">
        <v>132</v>
      </c>
      <c r="V127">
        <v>125.5</v>
      </c>
      <c r="W127">
        <v>123.3</v>
      </c>
      <c r="X127">
        <v>126.4</v>
      </c>
      <c r="Y127">
        <v>124.1</v>
      </c>
      <c r="Z127">
        <v>114.2</v>
      </c>
      <c r="AA127">
        <v>121.7</v>
      </c>
      <c r="AB127">
        <v>129.69999999999999</v>
      </c>
      <c r="AC127">
        <v>119.4</v>
      </c>
      <c r="AD127">
        <v>121.5</v>
      </c>
      <c r="AE127">
        <v>130.1</v>
      </c>
    </row>
    <row r="128" spans="1:31" x14ac:dyDescent="0.25">
      <c r="A128" t="s">
        <v>9</v>
      </c>
      <c r="B128">
        <v>2016</v>
      </c>
      <c r="C128" t="s">
        <v>18</v>
      </c>
      <c r="D128" t="str">
        <f t="shared" si="1"/>
        <v>2016JulyRural</v>
      </c>
      <c r="E128">
        <v>129.30000000000001</v>
      </c>
      <c r="F128">
        <v>139.5</v>
      </c>
      <c r="G128">
        <v>129.6</v>
      </c>
      <c r="H128">
        <v>134.5</v>
      </c>
      <c r="I128">
        <v>119.5</v>
      </c>
      <c r="J128">
        <v>138.5</v>
      </c>
      <c r="K128">
        <v>158.19999999999999</v>
      </c>
      <c r="L128">
        <v>171.8</v>
      </c>
      <c r="M128">
        <v>110.3</v>
      </c>
      <c r="N128">
        <v>134.30000000000001</v>
      </c>
      <c r="O128">
        <v>127.3</v>
      </c>
      <c r="P128">
        <v>139.9</v>
      </c>
      <c r="Q128">
        <v>137.6</v>
      </c>
      <c r="R128">
        <v>138</v>
      </c>
      <c r="S128">
        <v>137.19999999999999</v>
      </c>
      <c r="T128">
        <v>132.19999999999999</v>
      </c>
      <c r="U128">
        <v>136.5</v>
      </c>
      <c r="V128" t="s">
        <v>26</v>
      </c>
      <c r="W128">
        <v>128.19999999999999</v>
      </c>
      <c r="X128">
        <v>130</v>
      </c>
      <c r="Y128">
        <v>126.7</v>
      </c>
      <c r="Z128">
        <v>116.4</v>
      </c>
      <c r="AA128">
        <v>125.2</v>
      </c>
      <c r="AB128">
        <v>130.80000000000001</v>
      </c>
      <c r="AC128">
        <v>120.9</v>
      </c>
      <c r="AD128">
        <v>123.8</v>
      </c>
      <c r="AE128">
        <v>133</v>
      </c>
    </row>
    <row r="129" spans="1:31" x14ac:dyDescent="0.25">
      <c r="A129" t="s">
        <v>11</v>
      </c>
      <c r="B129">
        <v>2016</v>
      </c>
      <c r="C129" t="s">
        <v>18</v>
      </c>
      <c r="D129" t="str">
        <f t="shared" si="1"/>
        <v>2016JulyUrban</v>
      </c>
      <c r="E129">
        <v>126.8</v>
      </c>
      <c r="F129">
        <v>144.19999999999999</v>
      </c>
      <c r="G129">
        <v>136.6</v>
      </c>
      <c r="H129">
        <v>131.80000000000001</v>
      </c>
      <c r="I129">
        <v>111</v>
      </c>
      <c r="J129">
        <v>137</v>
      </c>
      <c r="K129">
        <v>179.5</v>
      </c>
      <c r="L129">
        <v>188.4</v>
      </c>
      <c r="M129">
        <v>113.3</v>
      </c>
      <c r="N129">
        <v>143.9</v>
      </c>
      <c r="O129">
        <v>121.7</v>
      </c>
      <c r="P129">
        <v>137.5</v>
      </c>
      <c r="Q129">
        <v>139.80000000000001</v>
      </c>
      <c r="R129">
        <v>142.9</v>
      </c>
      <c r="S129">
        <v>127.9</v>
      </c>
      <c r="T129">
        <v>121.1</v>
      </c>
      <c r="U129">
        <v>126.9</v>
      </c>
      <c r="V129">
        <v>126.4</v>
      </c>
      <c r="W129">
        <v>115.5</v>
      </c>
      <c r="X129">
        <v>123.5</v>
      </c>
      <c r="Y129">
        <v>120.9</v>
      </c>
      <c r="Z129">
        <v>111.7</v>
      </c>
      <c r="AA129">
        <v>120.3</v>
      </c>
      <c r="AB129">
        <v>130.80000000000001</v>
      </c>
      <c r="AC129">
        <v>120</v>
      </c>
      <c r="AD129">
        <v>119.9</v>
      </c>
      <c r="AE129">
        <v>129</v>
      </c>
    </row>
    <row r="130" spans="1:31" x14ac:dyDescent="0.25">
      <c r="A130" t="s">
        <v>12</v>
      </c>
      <c r="B130">
        <v>2016</v>
      </c>
      <c r="C130" t="s">
        <v>18</v>
      </c>
      <c r="D130" t="str">
        <f t="shared" si="1"/>
        <v>2016JulyRural+Urban</v>
      </c>
      <c r="E130">
        <v>128.5</v>
      </c>
      <c r="F130">
        <v>141.19999999999999</v>
      </c>
      <c r="G130">
        <v>132.30000000000001</v>
      </c>
      <c r="H130">
        <v>133.5</v>
      </c>
      <c r="I130">
        <v>116.4</v>
      </c>
      <c r="J130">
        <v>137.80000000000001</v>
      </c>
      <c r="K130">
        <v>165.4</v>
      </c>
      <c r="L130">
        <v>177.4</v>
      </c>
      <c r="M130">
        <v>111.3</v>
      </c>
      <c r="N130">
        <v>137.5</v>
      </c>
      <c r="O130">
        <v>125</v>
      </c>
      <c r="P130">
        <v>138.80000000000001</v>
      </c>
      <c r="Q130">
        <v>138.4</v>
      </c>
      <c r="R130">
        <v>139.30000000000001</v>
      </c>
      <c r="S130">
        <v>133.5</v>
      </c>
      <c r="T130">
        <v>127.6</v>
      </c>
      <c r="U130">
        <v>132.69999999999999</v>
      </c>
      <c r="V130">
        <v>126.4</v>
      </c>
      <c r="W130">
        <v>123.4</v>
      </c>
      <c r="X130">
        <v>126.9</v>
      </c>
      <c r="Y130">
        <v>124.5</v>
      </c>
      <c r="Z130">
        <v>113.9</v>
      </c>
      <c r="AA130">
        <v>122.4</v>
      </c>
      <c r="AB130">
        <v>130.80000000000001</v>
      </c>
      <c r="AC130">
        <v>120.5</v>
      </c>
      <c r="AD130">
        <v>121.9</v>
      </c>
      <c r="AE130">
        <v>131.1</v>
      </c>
    </row>
    <row r="131" spans="1:31" x14ac:dyDescent="0.25">
      <c r="A131" t="s">
        <v>9</v>
      </c>
      <c r="B131">
        <v>2016</v>
      </c>
      <c r="C131" t="s">
        <v>19</v>
      </c>
      <c r="D131" t="str">
        <f t="shared" ref="D131:D194" si="2">B131&amp;C131&amp;A131</f>
        <v>2016AugustRural</v>
      </c>
      <c r="E131">
        <v>130.1</v>
      </c>
      <c r="F131">
        <v>138.80000000000001</v>
      </c>
      <c r="G131">
        <v>130.30000000000001</v>
      </c>
      <c r="H131">
        <v>135.30000000000001</v>
      </c>
      <c r="I131">
        <v>119.9</v>
      </c>
      <c r="J131">
        <v>140.19999999999999</v>
      </c>
      <c r="K131">
        <v>156.9</v>
      </c>
      <c r="L131">
        <v>172.2</v>
      </c>
      <c r="M131">
        <v>112.1</v>
      </c>
      <c r="N131">
        <v>134.9</v>
      </c>
      <c r="O131">
        <v>128.1</v>
      </c>
      <c r="P131">
        <v>140.69999999999999</v>
      </c>
      <c r="Q131">
        <v>138</v>
      </c>
      <c r="R131">
        <v>138.9</v>
      </c>
      <c r="S131">
        <v>137.80000000000001</v>
      </c>
      <c r="T131">
        <v>133</v>
      </c>
      <c r="U131">
        <v>137.1</v>
      </c>
      <c r="V131" t="s">
        <v>26</v>
      </c>
      <c r="W131">
        <v>129.1</v>
      </c>
      <c r="X131">
        <v>130.6</v>
      </c>
      <c r="Y131">
        <v>127</v>
      </c>
      <c r="Z131">
        <v>116</v>
      </c>
      <c r="AA131">
        <v>125.5</v>
      </c>
      <c r="AB131">
        <v>131.9</v>
      </c>
      <c r="AC131">
        <v>122</v>
      </c>
      <c r="AD131">
        <v>124.2</v>
      </c>
      <c r="AE131">
        <v>133.5</v>
      </c>
    </row>
    <row r="132" spans="1:31" x14ac:dyDescent="0.25">
      <c r="A132" t="s">
        <v>11</v>
      </c>
      <c r="B132">
        <v>2016</v>
      </c>
      <c r="C132" t="s">
        <v>19</v>
      </c>
      <c r="D132" t="str">
        <f t="shared" si="2"/>
        <v>2016AugustUrban</v>
      </c>
      <c r="E132">
        <v>127.6</v>
      </c>
      <c r="F132">
        <v>140.30000000000001</v>
      </c>
      <c r="G132">
        <v>133.69999999999999</v>
      </c>
      <c r="H132">
        <v>132.19999999999999</v>
      </c>
      <c r="I132">
        <v>111.8</v>
      </c>
      <c r="J132">
        <v>135.80000000000001</v>
      </c>
      <c r="K132">
        <v>163.5</v>
      </c>
      <c r="L132">
        <v>182.3</v>
      </c>
      <c r="M132">
        <v>114.6</v>
      </c>
      <c r="N132">
        <v>144.6</v>
      </c>
      <c r="O132">
        <v>121.9</v>
      </c>
      <c r="P132">
        <v>138.1</v>
      </c>
      <c r="Q132">
        <v>137.6</v>
      </c>
      <c r="R132">
        <v>143.6</v>
      </c>
      <c r="S132">
        <v>128.30000000000001</v>
      </c>
      <c r="T132">
        <v>121.4</v>
      </c>
      <c r="U132">
        <v>127.3</v>
      </c>
      <c r="V132">
        <v>127.3</v>
      </c>
      <c r="W132">
        <v>114.7</v>
      </c>
      <c r="X132">
        <v>123.9</v>
      </c>
      <c r="Y132">
        <v>121.2</v>
      </c>
      <c r="Z132">
        <v>110.4</v>
      </c>
      <c r="AA132">
        <v>120.6</v>
      </c>
      <c r="AB132">
        <v>131.5</v>
      </c>
      <c r="AC132">
        <v>120.9</v>
      </c>
      <c r="AD132">
        <v>119.9</v>
      </c>
      <c r="AE132">
        <v>128.4</v>
      </c>
    </row>
    <row r="133" spans="1:31" x14ac:dyDescent="0.25">
      <c r="A133" t="s">
        <v>12</v>
      </c>
      <c r="B133">
        <v>2016</v>
      </c>
      <c r="C133" t="s">
        <v>19</v>
      </c>
      <c r="D133" t="str">
        <f t="shared" si="2"/>
        <v>2016AugustRural+Urban</v>
      </c>
      <c r="E133">
        <v>129.30000000000001</v>
      </c>
      <c r="F133">
        <v>139.30000000000001</v>
      </c>
      <c r="G133">
        <v>131.6</v>
      </c>
      <c r="H133">
        <v>134.1</v>
      </c>
      <c r="I133">
        <v>116.9</v>
      </c>
      <c r="J133">
        <v>138.1</v>
      </c>
      <c r="K133">
        <v>159.1</v>
      </c>
      <c r="L133">
        <v>175.6</v>
      </c>
      <c r="M133">
        <v>112.9</v>
      </c>
      <c r="N133">
        <v>138.1</v>
      </c>
      <c r="O133">
        <v>125.5</v>
      </c>
      <c r="P133">
        <v>139.5</v>
      </c>
      <c r="Q133">
        <v>137.9</v>
      </c>
      <c r="R133">
        <v>140.19999999999999</v>
      </c>
      <c r="S133">
        <v>134.1</v>
      </c>
      <c r="T133">
        <v>128.19999999999999</v>
      </c>
      <c r="U133">
        <v>133.19999999999999</v>
      </c>
      <c r="V133">
        <v>127.3</v>
      </c>
      <c r="W133">
        <v>123.6</v>
      </c>
      <c r="X133">
        <v>127.4</v>
      </c>
      <c r="Y133">
        <v>124.8</v>
      </c>
      <c r="Z133">
        <v>113.1</v>
      </c>
      <c r="AA133">
        <v>122.7</v>
      </c>
      <c r="AB133">
        <v>131.69999999999999</v>
      </c>
      <c r="AC133">
        <v>121.5</v>
      </c>
      <c r="AD133">
        <v>122.1</v>
      </c>
      <c r="AE133">
        <v>131.1</v>
      </c>
    </row>
    <row r="134" spans="1:31" x14ac:dyDescent="0.25">
      <c r="A134" t="s">
        <v>9</v>
      </c>
      <c r="B134">
        <v>2016</v>
      </c>
      <c r="C134" t="s">
        <v>20</v>
      </c>
      <c r="D134" t="str">
        <f t="shared" si="2"/>
        <v>2016SeptemberRural</v>
      </c>
      <c r="E134">
        <v>130.80000000000001</v>
      </c>
      <c r="F134">
        <v>138.19999999999999</v>
      </c>
      <c r="G134">
        <v>130.5</v>
      </c>
      <c r="H134">
        <v>135.5</v>
      </c>
      <c r="I134">
        <v>120.2</v>
      </c>
      <c r="J134">
        <v>139.19999999999999</v>
      </c>
      <c r="K134">
        <v>149.5</v>
      </c>
      <c r="L134">
        <v>170.4</v>
      </c>
      <c r="M134">
        <v>113.1</v>
      </c>
      <c r="N134">
        <v>135.80000000000001</v>
      </c>
      <c r="O134">
        <v>128.80000000000001</v>
      </c>
      <c r="P134">
        <v>141.5</v>
      </c>
      <c r="Q134">
        <v>137.19999999999999</v>
      </c>
      <c r="R134">
        <v>139.9</v>
      </c>
      <c r="S134">
        <v>138.5</v>
      </c>
      <c r="T134">
        <v>133.5</v>
      </c>
      <c r="U134">
        <v>137.80000000000001</v>
      </c>
      <c r="V134" t="s">
        <v>26</v>
      </c>
      <c r="W134">
        <v>129.69999999999999</v>
      </c>
      <c r="X134">
        <v>131.1</v>
      </c>
      <c r="Y134">
        <v>127.8</v>
      </c>
      <c r="Z134">
        <v>117</v>
      </c>
      <c r="AA134">
        <v>125.7</v>
      </c>
      <c r="AB134">
        <v>132.19999999999999</v>
      </c>
      <c r="AC134">
        <v>122.8</v>
      </c>
      <c r="AD134">
        <v>124.9</v>
      </c>
      <c r="AE134">
        <v>133.4</v>
      </c>
    </row>
    <row r="135" spans="1:31" x14ac:dyDescent="0.25">
      <c r="A135" t="s">
        <v>11</v>
      </c>
      <c r="B135">
        <v>2016</v>
      </c>
      <c r="C135" t="s">
        <v>20</v>
      </c>
      <c r="D135" t="str">
        <f t="shared" si="2"/>
        <v>2016SeptemberUrban</v>
      </c>
      <c r="E135">
        <v>128.1</v>
      </c>
      <c r="F135">
        <v>137.69999999999999</v>
      </c>
      <c r="G135">
        <v>130.6</v>
      </c>
      <c r="H135">
        <v>132.6</v>
      </c>
      <c r="I135">
        <v>111.9</v>
      </c>
      <c r="J135">
        <v>132.5</v>
      </c>
      <c r="K135">
        <v>152.9</v>
      </c>
      <c r="L135">
        <v>173.6</v>
      </c>
      <c r="M135">
        <v>115.1</v>
      </c>
      <c r="N135">
        <v>144.80000000000001</v>
      </c>
      <c r="O135">
        <v>122.1</v>
      </c>
      <c r="P135">
        <v>138.80000000000001</v>
      </c>
      <c r="Q135">
        <v>135.69999999999999</v>
      </c>
      <c r="R135">
        <v>143.9</v>
      </c>
      <c r="S135">
        <v>128.69999999999999</v>
      </c>
      <c r="T135">
        <v>121.6</v>
      </c>
      <c r="U135">
        <v>127.7</v>
      </c>
      <c r="V135">
        <v>127.9</v>
      </c>
      <c r="W135">
        <v>114.8</v>
      </c>
      <c r="X135">
        <v>124.3</v>
      </c>
      <c r="Y135">
        <v>121.4</v>
      </c>
      <c r="Z135">
        <v>111.8</v>
      </c>
      <c r="AA135">
        <v>120.8</v>
      </c>
      <c r="AB135">
        <v>131.6</v>
      </c>
      <c r="AC135">
        <v>121.2</v>
      </c>
      <c r="AD135">
        <v>120.5</v>
      </c>
      <c r="AE135">
        <v>128</v>
      </c>
    </row>
    <row r="136" spans="1:31" x14ac:dyDescent="0.25">
      <c r="A136" t="s">
        <v>12</v>
      </c>
      <c r="B136">
        <v>2016</v>
      </c>
      <c r="C136" t="s">
        <v>20</v>
      </c>
      <c r="D136" t="str">
        <f t="shared" si="2"/>
        <v>2016SeptemberRural+Urban</v>
      </c>
      <c r="E136">
        <v>129.9</v>
      </c>
      <c r="F136">
        <v>138</v>
      </c>
      <c r="G136">
        <v>130.5</v>
      </c>
      <c r="H136">
        <v>134.4</v>
      </c>
      <c r="I136">
        <v>117.2</v>
      </c>
      <c r="J136">
        <v>136.1</v>
      </c>
      <c r="K136">
        <v>150.69999999999999</v>
      </c>
      <c r="L136">
        <v>171.5</v>
      </c>
      <c r="M136">
        <v>113.8</v>
      </c>
      <c r="N136">
        <v>138.80000000000001</v>
      </c>
      <c r="O136">
        <v>126</v>
      </c>
      <c r="P136">
        <v>140.19999999999999</v>
      </c>
      <c r="Q136">
        <v>136.6</v>
      </c>
      <c r="R136">
        <v>141</v>
      </c>
      <c r="S136">
        <v>134.6</v>
      </c>
      <c r="T136">
        <v>128.6</v>
      </c>
      <c r="U136">
        <v>133.80000000000001</v>
      </c>
      <c r="V136">
        <v>127.9</v>
      </c>
      <c r="W136">
        <v>124.1</v>
      </c>
      <c r="X136">
        <v>127.9</v>
      </c>
      <c r="Y136">
        <v>125.4</v>
      </c>
      <c r="Z136">
        <v>114.3</v>
      </c>
      <c r="AA136">
        <v>122.9</v>
      </c>
      <c r="AB136">
        <v>131.80000000000001</v>
      </c>
      <c r="AC136">
        <v>122.1</v>
      </c>
      <c r="AD136">
        <v>122.8</v>
      </c>
      <c r="AE136">
        <v>130.9</v>
      </c>
    </row>
    <row r="137" spans="1:31" x14ac:dyDescent="0.25">
      <c r="A137" t="s">
        <v>9</v>
      </c>
      <c r="B137">
        <v>2016</v>
      </c>
      <c r="C137" t="s">
        <v>21</v>
      </c>
      <c r="D137" t="str">
        <f t="shared" si="2"/>
        <v>2016OctoberRural</v>
      </c>
      <c r="E137">
        <v>131.30000000000001</v>
      </c>
      <c r="F137">
        <v>137.6</v>
      </c>
      <c r="G137">
        <v>130.1</v>
      </c>
      <c r="H137">
        <v>136</v>
      </c>
      <c r="I137">
        <v>120.8</v>
      </c>
      <c r="J137">
        <v>138.4</v>
      </c>
      <c r="K137">
        <v>149.19999999999999</v>
      </c>
      <c r="L137">
        <v>170.2</v>
      </c>
      <c r="M137">
        <v>113.4</v>
      </c>
      <c r="N137">
        <v>136.30000000000001</v>
      </c>
      <c r="O137">
        <v>128.69999999999999</v>
      </c>
      <c r="P137">
        <v>142.4</v>
      </c>
      <c r="Q137">
        <v>137.4</v>
      </c>
      <c r="R137">
        <v>140.9</v>
      </c>
      <c r="S137">
        <v>139.6</v>
      </c>
      <c r="T137">
        <v>134.30000000000001</v>
      </c>
      <c r="U137">
        <v>138.80000000000001</v>
      </c>
      <c r="V137" t="s">
        <v>26</v>
      </c>
      <c r="W137">
        <v>129.80000000000001</v>
      </c>
      <c r="X137">
        <v>131.80000000000001</v>
      </c>
      <c r="Y137">
        <v>128.69999999999999</v>
      </c>
      <c r="Z137">
        <v>117.8</v>
      </c>
      <c r="AA137">
        <v>126.5</v>
      </c>
      <c r="AB137">
        <v>133</v>
      </c>
      <c r="AC137">
        <v>123</v>
      </c>
      <c r="AD137">
        <v>125.7</v>
      </c>
      <c r="AE137">
        <v>133.80000000000001</v>
      </c>
    </row>
    <row r="138" spans="1:31" x14ac:dyDescent="0.25">
      <c r="A138" t="s">
        <v>11</v>
      </c>
      <c r="B138">
        <v>2016</v>
      </c>
      <c r="C138" t="s">
        <v>21</v>
      </c>
      <c r="D138" t="str">
        <f t="shared" si="2"/>
        <v>2016OctoberUrban</v>
      </c>
      <c r="E138">
        <v>128.69999999999999</v>
      </c>
      <c r="F138">
        <v>138.4</v>
      </c>
      <c r="G138">
        <v>130.30000000000001</v>
      </c>
      <c r="H138">
        <v>132.69999999999999</v>
      </c>
      <c r="I138">
        <v>112.5</v>
      </c>
      <c r="J138">
        <v>130.4</v>
      </c>
      <c r="K138">
        <v>155.1</v>
      </c>
      <c r="L138">
        <v>175.7</v>
      </c>
      <c r="M138">
        <v>115.4</v>
      </c>
      <c r="N138">
        <v>145.30000000000001</v>
      </c>
      <c r="O138">
        <v>122.5</v>
      </c>
      <c r="P138">
        <v>139.6</v>
      </c>
      <c r="Q138">
        <v>136.30000000000001</v>
      </c>
      <c r="R138">
        <v>144.30000000000001</v>
      </c>
      <c r="S138">
        <v>129.1</v>
      </c>
      <c r="T138">
        <v>121.9</v>
      </c>
      <c r="U138">
        <v>128</v>
      </c>
      <c r="V138">
        <v>128.69999999999999</v>
      </c>
      <c r="W138">
        <v>115.2</v>
      </c>
      <c r="X138">
        <v>124.5</v>
      </c>
      <c r="Y138">
        <v>121.8</v>
      </c>
      <c r="Z138">
        <v>112.8</v>
      </c>
      <c r="AA138">
        <v>121.2</v>
      </c>
      <c r="AB138">
        <v>131.9</v>
      </c>
      <c r="AC138">
        <v>120.8</v>
      </c>
      <c r="AD138">
        <v>120.9</v>
      </c>
      <c r="AE138">
        <v>128.6</v>
      </c>
    </row>
    <row r="139" spans="1:31" x14ac:dyDescent="0.25">
      <c r="A139" t="s">
        <v>12</v>
      </c>
      <c r="B139">
        <v>2016</v>
      </c>
      <c r="C139" t="s">
        <v>21</v>
      </c>
      <c r="D139" t="str">
        <f t="shared" si="2"/>
        <v>2016OctoberRural+Urban</v>
      </c>
      <c r="E139">
        <v>130.5</v>
      </c>
      <c r="F139">
        <v>137.9</v>
      </c>
      <c r="G139">
        <v>130.19999999999999</v>
      </c>
      <c r="H139">
        <v>134.80000000000001</v>
      </c>
      <c r="I139">
        <v>117.8</v>
      </c>
      <c r="J139">
        <v>134.69999999999999</v>
      </c>
      <c r="K139">
        <v>151.19999999999999</v>
      </c>
      <c r="L139">
        <v>172.1</v>
      </c>
      <c r="M139">
        <v>114.1</v>
      </c>
      <c r="N139">
        <v>139.30000000000001</v>
      </c>
      <c r="O139">
        <v>126.1</v>
      </c>
      <c r="P139">
        <v>141.1</v>
      </c>
      <c r="Q139">
        <v>137</v>
      </c>
      <c r="R139">
        <v>141.80000000000001</v>
      </c>
      <c r="S139">
        <v>135.5</v>
      </c>
      <c r="T139">
        <v>129.1</v>
      </c>
      <c r="U139">
        <v>134.5</v>
      </c>
      <c r="V139">
        <v>128.69999999999999</v>
      </c>
      <c r="W139">
        <v>124.3</v>
      </c>
      <c r="X139">
        <v>128.4</v>
      </c>
      <c r="Y139">
        <v>126.1</v>
      </c>
      <c r="Z139">
        <v>115.2</v>
      </c>
      <c r="AA139">
        <v>123.5</v>
      </c>
      <c r="AB139">
        <v>132.4</v>
      </c>
      <c r="AC139">
        <v>122.1</v>
      </c>
      <c r="AD139">
        <v>123.4</v>
      </c>
      <c r="AE139">
        <v>131.4</v>
      </c>
    </row>
    <row r="140" spans="1:31" x14ac:dyDescent="0.25">
      <c r="A140" t="s">
        <v>9</v>
      </c>
      <c r="B140">
        <v>2016</v>
      </c>
      <c r="C140" t="s">
        <v>23</v>
      </c>
      <c r="D140" t="str">
        <f t="shared" si="2"/>
        <v>2016NovemberRural</v>
      </c>
      <c r="E140">
        <v>132</v>
      </c>
      <c r="F140">
        <v>137.4</v>
      </c>
      <c r="G140">
        <v>130.6</v>
      </c>
      <c r="H140">
        <v>136.19999999999999</v>
      </c>
      <c r="I140">
        <v>121.1</v>
      </c>
      <c r="J140">
        <v>136.9</v>
      </c>
      <c r="K140">
        <v>141.80000000000001</v>
      </c>
      <c r="L140">
        <v>170</v>
      </c>
      <c r="M140">
        <v>113.4</v>
      </c>
      <c r="N140">
        <v>136.80000000000001</v>
      </c>
      <c r="O140">
        <v>128.69999999999999</v>
      </c>
      <c r="P140">
        <v>143.1</v>
      </c>
      <c r="Q140">
        <v>136.6</v>
      </c>
      <c r="R140">
        <v>141.19999999999999</v>
      </c>
      <c r="S140">
        <v>139.9</v>
      </c>
      <c r="T140">
        <v>134.5</v>
      </c>
      <c r="U140">
        <v>139.19999999999999</v>
      </c>
      <c r="V140" t="s">
        <v>26</v>
      </c>
      <c r="W140">
        <v>130.30000000000001</v>
      </c>
      <c r="X140">
        <v>132.1</v>
      </c>
      <c r="Y140">
        <v>129.1</v>
      </c>
      <c r="Z140">
        <v>118.2</v>
      </c>
      <c r="AA140">
        <v>126.9</v>
      </c>
      <c r="AB140">
        <v>133.69999999999999</v>
      </c>
      <c r="AC140">
        <v>123.5</v>
      </c>
      <c r="AD140">
        <v>126.1</v>
      </c>
      <c r="AE140">
        <v>133.6</v>
      </c>
    </row>
    <row r="141" spans="1:31" x14ac:dyDescent="0.25">
      <c r="A141" t="s">
        <v>11</v>
      </c>
      <c r="B141">
        <v>2016</v>
      </c>
      <c r="C141" t="s">
        <v>23</v>
      </c>
      <c r="D141" t="str">
        <f t="shared" si="2"/>
        <v>2016NovemberUrban</v>
      </c>
      <c r="E141">
        <v>130.19999999999999</v>
      </c>
      <c r="F141">
        <v>138.5</v>
      </c>
      <c r="G141">
        <v>134.1</v>
      </c>
      <c r="H141">
        <v>132.9</v>
      </c>
      <c r="I141">
        <v>112.6</v>
      </c>
      <c r="J141">
        <v>130.80000000000001</v>
      </c>
      <c r="K141">
        <v>142</v>
      </c>
      <c r="L141">
        <v>174.9</v>
      </c>
      <c r="M141">
        <v>115.6</v>
      </c>
      <c r="N141">
        <v>145.4</v>
      </c>
      <c r="O141">
        <v>122.7</v>
      </c>
      <c r="P141">
        <v>140.30000000000001</v>
      </c>
      <c r="Q141">
        <v>135.19999999999999</v>
      </c>
      <c r="R141">
        <v>144.30000000000001</v>
      </c>
      <c r="S141">
        <v>129.6</v>
      </c>
      <c r="T141">
        <v>122.1</v>
      </c>
      <c r="U141">
        <v>128.5</v>
      </c>
      <c r="V141">
        <v>129.1</v>
      </c>
      <c r="W141">
        <v>116.2</v>
      </c>
      <c r="X141">
        <v>124.7</v>
      </c>
      <c r="Y141">
        <v>122.1</v>
      </c>
      <c r="Z141">
        <v>113.4</v>
      </c>
      <c r="AA141">
        <v>121.7</v>
      </c>
      <c r="AB141">
        <v>132.1</v>
      </c>
      <c r="AC141">
        <v>121.3</v>
      </c>
      <c r="AD141">
        <v>121.3</v>
      </c>
      <c r="AE141">
        <v>128.5</v>
      </c>
    </row>
    <row r="142" spans="1:31" x14ac:dyDescent="0.25">
      <c r="A142" t="s">
        <v>12</v>
      </c>
      <c r="B142">
        <v>2016</v>
      </c>
      <c r="C142" t="s">
        <v>23</v>
      </c>
      <c r="D142" t="str">
        <f t="shared" si="2"/>
        <v>2016NovemberRural+Urban</v>
      </c>
      <c r="E142">
        <v>131.4</v>
      </c>
      <c r="F142">
        <v>137.80000000000001</v>
      </c>
      <c r="G142">
        <v>132</v>
      </c>
      <c r="H142">
        <v>135</v>
      </c>
      <c r="I142">
        <v>118</v>
      </c>
      <c r="J142">
        <v>134.1</v>
      </c>
      <c r="K142">
        <v>141.9</v>
      </c>
      <c r="L142">
        <v>171.7</v>
      </c>
      <c r="M142">
        <v>114.1</v>
      </c>
      <c r="N142">
        <v>139.69999999999999</v>
      </c>
      <c r="O142">
        <v>126.2</v>
      </c>
      <c r="P142">
        <v>141.80000000000001</v>
      </c>
      <c r="Q142">
        <v>136.1</v>
      </c>
      <c r="R142">
        <v>142</v>
      </c>
      <c r="S142">
        <v>135.80000000000001</v>
      </c>
      <c r="T142">
        <v>129.30000000000001</v>
      </c>
      <c r="U142">
        <v>135</v>
      </c>
      <c r="V142">
        <v>129.1</v>
      </c>
      <c r="W142">
        <v>125</v>
      </c>
      <c r="X142">
        <v>128.6</v>
      </c>
      <c r="Y142">
        <v>126.4</v>
      </c>
      <c r="Z142">
        <v>115.7</v>
      </c>
      <c r="AA142">
        <v>124</v>
      </c>
      <c r="AB142">
        <v>132.80000000000001</v>
      </c>
      <c r="AC142">
        <v>122.6</v>
      </c>
      <c r="AD142">
        <v>123.8</v>
      </c>
      <c r="AE142">
        <v>131.19999999999999</v>
      </c>
    </row>
    <row r="143" spans="1:31" x14ac:dyDescent="0.25">
      <c r="A143" t="s">
        <v>9</v>
      </c>
      <c r="B143">
        <v>2016</v>
      </c>
      <c r="C143" t="s">
        <v>24</v>
      </c>
      <c r="D143" t="str">
        <f t="shared" si="2"/>
        <v>2016DecemberRural</v>
      </c>
      <c r="E143">
        <v>132.6</v>
      </c>
      <c r="F143">
        <v>137.30000000000001</v>
      </c>
      <c r="G143">
        <v>131.6</v>
      </c>
      <c r="H143">
        <v>136.30000000000001</v>
      </c>
      <c r="I143">
        <v>121.6</v>
      </c>
      <c r="J143">
        <v>135.6</v>
      </c>
      <c r="K143">
        <v>127.5</v>
      </c>
      <c r="L143">
        <v>167.9</v>
      </c>
      <c r="M143">
        <v>113.8</v>
      </c>
      <c r="N143">
        <v>137.5</v>
      </c>
      <c r="O143">
        <v>129.1</v>
      </c>
      <c r="P143">
        <v>143.6</v>
      </c>
      <c r="Q143">
        <v>134.69999999999999</v>
      </c>
      <c r="R143">
        <v>142.4</v>
      </c>
      <c r="S143">
        <v>140.4</v>
      </c>
      <c r="T143">
        <v>135.19999999999999</v>
      </c>
      <c r="U143">
        <v>139.69999999999999</v>
      </c>
      <c r="V143" t="s">
        <v>26</v>
      </c>
      <c r="W143">
        <v>132</v>
      </c>
      <c r="X143">
        <v>132.9</v>
      </c>
      <c r="Y143">
        <v>129.69999999999999</v>
      </c>
      <c r="Z143">
        <v>118.6</v>
      </c>
      <c r="AA143">
        <v>127.3</v>
      </c>
      <c r="AB143">
        <v>134.19999999999999</v>
      </c>
      <c r="AC143">
        <v>121.9</v>
      </c>
      <c r="AD143">
        <v>126.3</v>
      </c>
      <c r="AE143">
        <v>132.80000000000001</v>
      </c>
    </row>
    <row r="144" spans="1:31" x14ac:dyDescent="0.25">
      <c r="A144" t="s">
        <v>11</v>
      </c>
      <c r="B144">
        <v>2016</v>
      </c>
      <c r="C144" t="s">
        <v>24</v>
      </c>
      <c r="D144" t="str">
        <f t="shared" si="2"/>
        <v>2016DecemberUrban</v>
      </c>
      <c r="E144">
        <v>131.6</v>
      </c>
      <c r="F144">
        <v>138.19999999999999</v>
      </c>
      <c r="G144">
        <v>134.9</v>
      </c>
      <c r="H144">
        <v>133.1</v>
      </c>
      <c r="I144">
        <v>113.5</v>
      </c>
      <c r="J144">
        <v>129.30000000000001</v>
      </c>
      <c r="K144">
        <v>121.1</v>
      </c>
      <c r="L144">
        <v>170.3</v>
      </c>
      <c r="M144">
        <v>115.5</v>
      </c>
      <c r="N144">
        <v>145.5</v>
      </c>
      <c r="O144">
        <v>123.1</v>
      </c>
      <c r="P144">
        <v>140.9</v>
      </c>
      <c r="Q144">
        <v>132.80000000000001</v>
      </c>
      <c r="R144">
        <v>145</v>
      </c>
      <c r="S144">
        <v>130</v>
      </c>
      <c r="T144">
        <v>122.2</v>
      </c>
      <c r="U144">
        <v>128.80000000000001</v>
      </c>
      <c r="V144">
        <v>128.5</v>
      </c>
      <c r="W144">
        <v>117.8</v>
      </c>
      <c r="X144">
        <v>125</v>
      </c>
      <c r="Y144">
        <v>122.3</v>
      </c>
      <c r="Z144">
        <v>113.7</v>
      </c>
      <c r="AA144">
        <v>121.8</v>
      </c>
      <c r="AB144">
        <v>132.30000000000001</v>
      </c>
      <c r="AC144">
        <v>119.9</v>
      </c>
      <c r="AD144">
        <v>121.4</v>
      </c>
      <c r="AE144">
        <v>127.6</v>
      </c>
    </row>
    <row r="145" spans="1:31" x14ac:dyDescent="0.25">
      <c r="A145" t="s">
        <v>12</v>
      </c>
      <c r="B145">
        <v>2016</v>
      </c>
      <c r="C145" t="s">
        <v>24</v>
      </c>
      <c r="D145" t="str">
        <f t="shared" si="2"/>
        <v>2016DecemberRural+Urban</v>
      </c>
      <c r="E145">
        <v>132.30000000000001</v>
      </c>
      <c r="F145">
        <v>137.6</v>
      </c>
      <c r="G145">
        <v>132.9</v>
      </c>
      <c r="H145">
        <v>135.1</v>
      </c>
      <c r="I145">
        <v>118.6</v>
      </c>
      <c r="J145">
        <v>132.69999999999999</v>
      </c>
      <c r="K145">
        <v>125.3</v>
      </c>
      <c r="L145">
        <v>168.7</v>
      </c>
      <c r="M145">
        <v>114.4</v>
      </c>
      <c r="N145">
        <v>140.19999999999999</v>
      </c>
      <c r="O145">
        <v>126.6</v>
      </c>
      <c r="P145">
        <v>142.30000000000001</v>
      </c>
      <c r="Q145">
        <v>134</v>
      </c>
      <c r="R145">
        <v>143.1</v>
      </c>
      <c r="S145">
        <v>136.30000000000001</v>
      </c>
      <c r="T145">
        <v>129.80000000000001</v>
      </c>
      <c r="U145">
        <v>135.4</v>
      </c>
      <c r="V145">
        <v>128.5</v>
      </c>
      <c r="W145">
        <v>126.6</v>
      </c>
      <c r="X145">
        <v>129.19999999999999</v>
      </c>
      <c r="Y145">
        <v>126.9</v>
      </c>
      <c r="Z145">
        <v>116</v>
      </c>
      <c r="AA145">
        <v>124.2</v>
      </c>
      <c r="AB145">
        <v>133.1</v>
      </c>
      <c r="AC145">
        <v>121.1</v>
      </c>
      <c r="AD145">
        <v>123.9</v>
      </c>
      <c r="AE145">
        <v>130.4</v>
      </c>
    </row>
    <row r="146" spans="1:31" x14ac:dyDescent="0.25">
      <c r="A146" t="s">
        <v>9</v>
      </c>
      <c r="B146">
        <v>2017</v>
      </c>
      <c r="C146" t="s">
        <v>10</v>
      </c>
      <c r="D146" t="str">
        <f t="shared" si="2"/>
        <v>2017JanuaryRural</v>
      </c>
      <c r="E146">
        <v>133.1</v>
      </c>
      <c r="F146">
        <v>137.80000000000001</v>
      </c>
      <c r="G146">
        <v>131.9</v>
      </c>
      <c r="H146">
        <v>136.69999999999999</v>
      </c>
      <c r="I146">
        <v>122</v>
      </c>
      <c r="J146">
        <v>136</v>
      </c>
      <c r="K146">
        <v>119.8</v>
      </c>
      <c r="L146">
        <v>161.69999999999999</v>
      </c>
      <c r="M146">
        <v>114.8</v>
      </c>
      <c r="N146">
        <v>136.9</v>
      </c>
      <c r="O146">
        <v>129</v>
      </c>
      <c r="P146">
        <v>143.9</v>
      </c>
      <c r="Q146">
        <v>133.69999999999999</v>
      </c>
      <c r="R146">
        <v>143.1</v>
      </c>
      <c r="S146">
        <v>140.69999999999999</v>
      </c>
      <c r="T146">
        <v>135.80000000000001</v>
      </c>
      <c r="U146">
        <v>140</v>
      </c>
      <c r="V146" t="s">
        <v>26</v>
      </c>
      <c r="W146">
        <v>132.1</v>
      </c>
      <c r="X146">
        <v>133.19999999999999</v>
      </c>
      <c r="Y146">
        <v>129.9</v>
      </c>
      <c r="Z146">
        <v>119.1</v>
      </c>
      <c r="AA146">
        <v>127</v>
      </c>
      <c r="AB146">
        <v>134.6</v>
      </c>
      <c r="AC146">
        <v>122.3</v>
      </c>
      <c r="AD146">
        <v>126.6</v>
      </c>
      <c r="AE146">
        <v>132.4</v>
      </c>
    </row>
    <row r="147" spans="1:31" x14ac:dyDescent="0.25">
      <c r="A147" t="s">
        <v>11</v>
      </c>
      <c r="B147">
        <v>2017</v>
      </c>
      <c r="C147" t="s">
        <v>10</v>
      </c>
      <c r="D147" t="str">
        <f t="shared" si="2"/>
        <v>2017JanuaryUrban</v>
      </c>
      <c r="E147">
        <v>132.19999999999999</v>
      </c>
      <c r="F147">
        <v>138.9</v>
      </c>
      <c r="G147">
        <v>132.6</v>
      </c>
      <c r="H147">
        <v>133.1</v>
      </c>
      <c r="I147">
        <v>114</v>
      </c>
      <c r="J147">
        <v>129.6</v>
      </c>
      <c r="K147">
        <v>118.7</v>
      </c>
      <c r="L147">
        <v>155.1</v>
      </c>
      <c r="M147">
        <v>117.3</v>
      </c>
      <c r="N147">
        <v>144.9</v>
      </c>
      <c r="O147">
        <v>123.2</v>
      </c>
      <c r="P147">
        <v>141.6</v>
      </c>
      <c r="Q147">
        <v>132</v>
      </c>
      <c r="R147">
        <v>145.6</v>
      </c>
      <c r="S147">
        <v>130.19999999999999</v>
      </c>
      <c r="T147">
        <v>122.3</v>
      </c>
      <c r="U147">
        <v>129</v>
      </c>
      <c r="V147">
        <v>129.6</v>
      </c>
      <c r="W147">
        <v>118</v>
      </c>
      <c r="X147">
        <v>125.1</v>
      </c>
      <c r="Y147">
        <v>122.6</v>
      </c>
      <c r="Z147">
        <v>115.2</v>
      </c>
      <c r="AA147">
        <v>122</v>
      </c>
      <c r="AB147">
        <v>132.4</v>
      </c>
      <c r="AC147">
        <v>120.9</v>
      </c>
      <c r="AD147">
        <v>122.1</v>
      </c>
      <c r="AE147">
        <v>127.8</v>
      </c>
    </row>
    <row r="148" spans="1:31" x14ac:dyDescent="0.25">
      <c r="A148" t="s">
        <v>12</v>
      </c>
      <c r="B148">
        <v>2017</v>
      </c>
      <c r="C148" t="s">
        <v>10</v>
      </c>
      <c r="D148" t="str">
        <f t="shared" si="2"/>
        <v>2017JanuaryRural+Urban</v>
      </c>
      <c r="E148">
        <v>132.80000000000001</v>
      </c>
      <c r="F148">
        <v>138.19999999999999</v>
      </c>
      <c r="G148">
        <v>132.19999999999999</v>
      </c>
      <c r="H148">
        <v>135.4</v>
      </c>
      <c r="I148">
        <v>119.1</v>
      </c>
      <c r="J148">
        <v>133</v>
      </c>
      <c r="K148">
        <v>119.4</v>
      </c>
      <c r="L148">
        <v>159.5</v>
      </c>
      <c r="M148">
        <v>115.6</v>
      </c>
      <c r="N148">
        <v>139.6</v>
      </c>
      <c r="O148">
        <v>126.6</v>
      </c>
      <c r="P148">
        <v>142.80000000000001</v>
      </c>
      <c r="Q148">
        <v>133.1</v>
      </c>
      <c r="R148">
        <v>143.80000000000001</v>
      </c>
      <c r="S148">
        <v>136.6</v>
      </c>
      <c r="T148">
        <v>130.19999999999999</v>
      </c>
      <c r="U148">
        <v>135.6</v>
      </c>
      <c r="V148">
        <v>129.6</v>
      </c>
      <c r="W148">
        <v>126.8</v>
      </c>
      <c r="X148">
        <v>129.4</v>
      </c>
      <c r="Y148">
        <v>127.1</v>
      </c>
      <c r="Z148">
        <v>117</v>
      </c>
      <c r="AA148">
        <v>124.2</v>
      </c>
      <c r="AB148">
        <v>133.30000000000001</v>
      </c>
      <c r="AC148">
        <v>121.7</v>
      </c>
      <c r="AD148">
        <v>124.4</v>
      </c>
      <c r="AE148">
        <v>130.30000000000001</v>
      </c>
    </row>
    <row r="149" spans="1:31" x14ac:dyDescent="0.25">
      <c r="A149" t="s">
        <v>9</v>
      </c>
      <c r="B149">
        <v>2017</v>
      </c>
      <c r="C149" t="s">
        <v>13</v>
      </c>
      <c r="D149" t="str">
        <f t="shared" si="2"/>
        <v>2017FebruaryRural</v>
      </c>
      <c r="E149">
        <v>133.30000000000001</v>
      </c>
      <c r="F149">
        <v>138.30000000000001</v>
      </c>
      <c r="G149">
        <v>129.30000000000001</v>
      </c>
      <c r="H149">
        <v>137.19999999999999</v>
      </c>
      <c r="I149">
        <v>122.1</v>
      </c>
      <c r="J149">
        <v>138.69999999999999</v>
      </c>
      <c r="K149">
        <v>119.1</v>
      </c>
      <c r="L149">
        <v>156.9</v>
      </c>
      <c r="M149">
        <v>116.2</v>
      </c>
      <c r="N149">
        <v>136</v>
      </c>
      <c r="O149">
        <v>129.4</v>
      </c>
      <c r="P149">
        <v>144.4</v>
      </c>
      <c r="Q149">
        <v>133.6</v>
      </c>
      <c r="R149">
        <v>143.69999999999999</v>
      </c>
      <c r="S149">
        <v>140.9</v>
      </c>
      <c r="T149">
        <v>135.80000000000001</v>
      </c>
      <c r="U149">
        <v>140.19999999999999</v>
      </c>
      <c r="V149" t="s">
        <v>26</v>
      </c>
      <c r="W149">
        <v>133.19999999999999</v>
      </c>
      <c r="X149">
        <v>133.6</v>
      </c>
      <c r="Y149">
        <v>130.1</v>
      </c>
      <c r="Z149">
        <v>119.5</v>
      </c>
      <c r="AA149">
        <v>127.7</v>
      </c>
      <c r="AB149">
        <v>134.9</v>
      </c>
      <c r="AC149">
        <v>123.2</v>
      </c>
      <c r="AD149">
        <v>127</v>
      </c>
      <c r="AE149">
        <v>132.6</v>
      </c>
    </row>
    <row r="150" spans="1:31" x14ac:dyDescent="0.25">
      <c r="A150" t="s">
        <v>11</v>
      </c>
      <c r="B150">
        <v>2017</v>
      </c>
      <c r="C150" t="s">
        <v>13</v>
      </c>
      <c r="D150" t="str">
        <f t="shared" si="2"/>
        <v>2017FebruaryUrban</v>
      </c>
      <c r="E150">
        <v>132.80000000000001</v>
      </c>
      <c r="F150">
        <v>139.80000000000001</v>
      </c>
      <c r="G150">
        <v>129.30000000000001</v>
      </c>
      <c r="H150">
        <v>133.5</v>
      </c>
      <c r="I150">
        <v>114.3</v>
      </c>
      <c r="J150">
        <v>131.4</v>
      </c>
      <c r="K150">
        <v>120.2</v>
      </c>
      <c r="L150">
        <v>143.1</v>
      </c>
      <c r="M150">
        <v>119.5</v>
      </c>
      <c r="N150">
        <v>144</v>
      </c>
      <c r="O150">
        <v>123.4</v>
      </c>
      <c r="P150">
        <v>141.9</v>
      </c>
      <c r="Q150">
        <v>132.1</v>
      </c>
      <c r="R150">
        <v>146.30000000000001</v>
      </c>
      <c r="S150">
        <v>130.5</v>
      </c>
      <c r="T150">
        <v>122.5</v>
      </c>
      <c r="U150">
        <v>129.30000000000001</v>
      </c>
      <c r="V150">
        <v>130.5</v>
      </c>
      <c r="W150">
        <v>119.2</v>
      </c>
      <c r="X150">
        <v>125.3</v>
      </c>
      <c r="Y150">
        <v>122.9</v>
      </c>
      <c r="Z150">
        <v>115.5</v>
      </c>
      <c r="AA150">
        <v>122.2</v>
      </c>
      <c r="AB150">
        <v>132.4</v>
      </c>
      <c r="AC150">
        <v>121.7</v>
      </c>
      <c r="AD150">
        <v>122.4</v>
      </c>
      <c r="AE150">
        <v>128.19999999999999</v>
      </c>
    </row>
    <row r="151" spans="1:31" x14ac:dyDescent="0.25">
      <c r="A151" t="s">
        <v>12</v>
      </c>
      <c r="B151">
        <v>2017</v>
      </c>
      <c r="C151" t="s">
        <v>13</v>
      </c>
      <c r="D151" t="str">
        <f t="shared" si="2"/>
        <v>2017FebruaryRural+Urban</v>
      </c>
      <c r="E151">
        <v>133.1</v>
      </c>
      <c r="F151">
        <v>138.80000000000001</v>
      </c>
      <c r="G151">
        <v>129.30000000000001</v>
      </c>
      <c r="H151">
        <v>135.80000000000001</v>
      </c>
      <c r="I151">
        <v>119.2</v>
      </c>
      <c r="J151">
        <v>135.30000000000001</v>
      </c>
      <c r="K151">
        <v>119.5</v>
      </c>
      <c r="L151">
        <v>152.19999999999999</v>
      </c>
      <c r="M151">
        <v>117.3</v>
      </c>
      <c r="N151">
        <v>138.69999999999999</v>
      </c>
      <c r="O151">
        <v>126.9</v>
      </c>
      <c r="P151">
        <v>143.19999999999999</v>
      </c>
      <c r="Q151">
        <v>133</v>
      </c>
      <c r="R151">
        <v>144.4</v>
      </c>
      <c r="S151">
        <v>136.80000000000001</v>
      </c>
      <c r="T151">
        <v>130.30000000000001</v>
      </c>
      <c r="U151">
        <v>135.9</v>
      </c>
      <c r="V151">
        <v>130.5</v>
      </c>
      <c r="W151">
        <v>127.9</v>
      </c>
      <c r="X151">
        <v>129.69999999999999</v>
      </c>
      <c r="Y151">
        <v>127.4</v>
      </c>
      <c r="Z151">
        <v>117.4</v>
      </c>
      <c r="AA151">
        <v>124.6</v>
      </c>
      <c r="AB151">
        <v>133.4</v>
      </c>
      <c r="AC151">
        <v>122.6</v>
      </c>
      <c r="AD151">
        <v>124.8</v>
      </c>
      <c r="AE151">
        <v>130.6</v>
      </c>
    </row>
    <row r="152" spans="1:31" x14ac:dyDescent="0.25">
      <c r="A152" t="s">
        <v>9</v>
      </c>
      <c r="B152">
        <v>2017</v>
      </c>
      <c r="C152" t="s">
        <v>15</v>
      </c>
      <c r="D152" t="str">
        <f t="shared" si="2"/>
        <v>2017MarchRural</v>
      </c>
      <c r="E152">
        <v>133.6</v>
      </c>
      <c r="F152">
        <v>138.80000000000001</v>
      </c>
      <c r="G152">
        <v>128.80000000000001</v>
      </c>
      <c r="H152">
        <v>137.19999999999999</v>
      </c>
      <c r="I152">
        <v>121.6</v>
      </c>
      <c r="J152">
        <v>139.69999999999999</v>
      </c>
      <c r="K152">
        <v>119.7</v>
      </c>
      <c r="L152">
        <v>148</v>
      </c>
      <c r="M152">
        <v>116.9</v>
      </c>
      <c r="N152">
        <v>135.6</v>
      </c>
      <c r="O152">
        <v>129.80000000000001</v>
      </c>
      <c r="P152">
        <v>145.4</v>
      </c>
      <c r="Q152">
        <v>133.4</v>
      </c>
      <c r="R152">
        <v>144.19999999999999</v>
      </c>
      <c r="S152">
        <v>141.6</v>
      </c>
      <c r="T152">
        <v>136.19999999999999</v>
      </c>
      <c r="U152">
        <v>140.80000000000001</v>
      </c>
      <c r="V152" t="s">
        <v>26</v>
      </c>
      <c r="W152">
        <v>134.19999999999999</v>
      </c>
      <c r="X152">
        <v>134.1</v>
      </c>
      <c r="Y152">
        <v>130.6</v>
      </c>
      <c r="Z152">
        <v>119.8</v>
      </c>
      <c r="AA152">
        <v>128.30000000000001</v>
      </c>
      <c r="AB152">
        <v>135.19999999999999</v>
      </c>
      <c r="AC152">
        <v>123.3</v>
      </c>
      <c r="AD152">
        <v>127.4</v>
      </c>
      <c r="AE152">
        <v>132.80000000000001</v>
      </c>
    </row>
    <row r="153" spans="1:31" x14ac:dyDescent="0.25">
      <c r="A153" t="s">
        <v>11</v>
      </c>
      <c r="B153">
        <v>2017</v>
      </c>
      <c r="C153" t="s">
        <v>15</v>
      </c>
      <c r="D153" t="str">
        <f t="shared" si="2"/>
        <v>2017MarchUrban</v>
      </c>
      <c r="E153">
        <v>132.69999999999999</v>
      </c>
      <c r="F153">
        <v>139.4</v>
      </c>
      <c r="G153">
        <v>128.4</v>
      </c>
      <c r="H153">
        <v>134.9</v>
      </c>
      <c r="I153">
        <v>114</v>
      </c>
      <c r="J153">
        <v>136.80000000000001</v>
      </c>
      <c r="K153">
        <v>122.2</v>
      </c>
      <c r="L153">
        <v>135.80000000000001</v>
      </c>
      <c r="M153">
        <v>120.3</v>
      </c>
      <c r="N153">
        <v>142.6</v>
      </c>
      <c r="O153">
        <v>123.6</v>
      </c>
      <c r="P153">
        <v>142.4</v>
      </c>
      <c r="Q153">
        <v>132.6</v>
      </c>
      <c r="R153">
        <v>147.5</v>
      </c>
      <c r="S153">
        <v>130.80000000000001</v>
      </c>
      <c r="T153">
        <v>122.8</v>
      </c>
      <c r="U153">
        <v>129.6</v>
      </c>
      <c r="V153">
        <v>131.1</v>
      </c>
      <c r="W153">
        <v>120.8</v>
      </c>
      <c r="X153">
        <v>125.6</v>
      </c>
      <c r="Y153">
        <v>123.1</v>
      </c>
      <c r="Z153">
        <v>115.6</v>
      </c>
      <c r="AA153">
        <v>122.4</v>
      </c>
      <c r="AB153">
        <v>132.80000000000001</v>
      </c>
      <c r="AC153">
        <v>121.7</v>
      </c>
      <c r="AD153">
        <v>122.6</v>
      </c>
      <c r="AE153">
        <v>128.69999999999999</v>
      </c>
    </row>
    <row r="154" spans="1:31" x14ac:dyDescent="0.25">
      <c r="A154" t="s">
        <v>12</v>
      </c>
      <c r="B154">
        <v>2017</v>
      </c>
      <c r="C154" t="s">
        <v>15</v>
      </c>
      <c r="D154" t="str">
        <f t="shared" si="2"/>
        <v>2017MarchRural+Urban</v>
      </c>
      <c r="E154">
        <v>133.30000000000001</v>
      </c>
      <c r="F154">
        <v>139</v>
      </c>
      <c r="G154">
        <v>128.6</v>
      </c>
      <c r="H154">
        <v>136.30000000000001</v>
      </c>
      <c r="I154">
        <v>118.8</v>
      </c>
      <c r="J154">
        <v>138.30000000000001</v>
      </c>
      <c r="K154">
        <v>120.5</v>
      </c>
      <c r="L154">
        <v>143.9</v>
      </c>
      <c r="M154">
        <v>118</v>
      </c>
      <c r="N154">
        <v>137.9</v>
      </c>
      <c r="O154">
        <v>127.2</v>
      </c>
      <c r="P154">
        <v>144</v>
      </c>
      <c r="Q154">
        <v>133.1</v>
      </c>
      <c r="R154">
        <v>145.1</v>
      </c>
      <c r="S154">
        <v>137.30000000000001</v>
      </c>
      <c r="T154">
        <v>130.6</v>
      </c>
      <c r="U154">
        <v>136.4</v>
      </c>
      <c r="V154">
        <v>131.1</v>
      </c>
      <c r="W154">
        <v>129.1</v>
      </c>
      <c r="X154">
        <v>130.1</v>
      </c>
      <c r="Y154">
        <v>127.8</v>
      </c>
      <c r="Z154">
        <v>117.6</v>
      </c>
      <c r="AA154">
        <v>125</v>
      </c>
      <c r="AB154">
        <v>133.80000000000001</v>
      </c>
      <c r="AC154">
        <v>122.6</v>
      </c>
      <c r="AD154">
        <v>125.1</v>
      </c>
      <c r="AE154">
        <v>130.9</v>
      </c>
    </row>
    <row r="155" spans="1:31" x14ac:dyDescent="0.25">
      <c r="A155" t="s">
        <v>9</v>
      </c>
      <c r="B155">
        <v>2017</v>
      </c>
      <c r="C155" t="s">
        <v>16</v>
      </c>
      <c r="D155" t="str">
        <f t="shared" si="2"/>
        <v>2017AprilRural</v>
      </c>
      <c r="E155">
        <v>133.19999999999999</v>
      </c>
      <c r="F155">
        <v>138.69999999999999</v>
      </c>
      <c r="G155">
        <v>127.1</v>
      </c>
      <c r="H155">
        <v>137.69999999999999</v>
      </c>
      <c r="I155">
        <v>121.3</v>
      </c>
      <c r="J155">
        <v>141.80000000000001</v>
      </c>
      <c r="K155">
        <v>121.5</v>
      </c>
      <c r="L155">
        <v>144.5</v>
      </c>
      <c r="M155">
        <v>117.4</v>
      </c>
      <c r="N155">
        <v>134.1</v>
      </c>
      <c r="O155">
        <v>130</v>
      </c>
      <c r="P155">
        <v>145.5</v>
      </c>
      <c r="Q155">
        <v>133.5</v>
      </c>
      <c r="R155">
        <v>144.4</v>
      </c>
      <c r="S155">
        <v>142.4</v>
      </c>
      <c r="T155">
        <v>136.80000000000001</v>
      </c>
      <c r="U155">
        <v>141.6</v>
      </c>
      <c r="V155" t="s">
        <v>26</v>
      </c>
      <c r="W155">
        <v>135</v>
      </c>
      <c r="X155">
        <v>134.30000000000001</v>
      </c>
      <c r="Y155">
        <v>131</v>
      </c>
      <c r="Z155">
        <v>119.2</v>
      </c>
      <c r="AA155">
        <v>128.30000000000001</v>
      </c>
      <c r="AB155">
        <v>135.69999999999999</v>
      </c>
      <c r="AC155">
        <v>123.7</v>
      </c>
      <c r="AD155">
        <v>127.5</v>
      </c>
      <c r="AE155">
        <v>132.9</v>
      </c>
    </row>
    <row r="156" spans="1:31" x14ac:dyDescent="0.25">
      <c r="A156" t="s">
        <v>11</v>
      </c>
      <c r="B156">
        <v>2017</v>
      </c>
      <c r="C156" t="s">
        <v>16</v>
      </c>
      <c r="D156" t="str">
        <f t="shared" si="2"/>
        <v>2017AprilUrban</v>
      </c>
      <c r="E156">
        <v>132.69999999999999</v>
      </c>
      <c r="F156">
        <v>140.6</v>
      </c>
      <c r="G156">
        <v>124.5</v>
      </c>
      <c r="H156">
        <v>136.30000000000001</v>
      </c>
      <c r="I156">
        <v>113.5</v>
      </c>
      <c r="J156">
        <v>137.69999999999999</v>
      </c>
      <c r="K156">
        <v>127.1</v>
      </c>
      <c r="L156">
        <v>133.80000000000001</v>
      </c>
      <c r="M156">
        <v>120.8</v>
      </c>
      <c r="N156">
        <v>141.30000000000001</v>
      </c>
      <c r="O156">
        <v>123.8</v>
      </c>
      <c r="P156">
        <v>142.6</v>
      </c>
      <c r="Q156">
        <v>133.4</v>
      </c>
      <c r="R156">
        <v>148</v>
      </c>
      <c r="S156">
        <v>131.19999999999999</v>
      </c>
      <c r="T156">
        <v>123</v>
      </c>
      <c r="U156">
        <v>130</v>
      </c>
      <c r="V156">
        <v>131.69999999999999</v>
      </c>
      <c r="W156">
        <v>121.4</v>
      </c>
      <c r="X156">
        <v>126</v>
      </c>
      <c r="Y156">
        <v>123.4</v>
      </c>
      <c r="Z156">
        <v>114.3</v>
      </c>
      <c r="AA156">
        <v>122.6</v>
      </c>
      <c r="AB156">
        <v>133.6</v>
      </c>
      <c r="AC156">
        <v>122.2</v>
      </c>
      <c r="AD156">
        <v>122.5</v>
      </c>
      <c r="AE156">
        <v>129.1</v>
      </c>
    </row>
    <row r="157" spans="1:31" x14ac:dyDescent="0.25">
      <c r="A157" t="s">
        <v>12</v>
      </c>
      <c r="B157">
        <v>2017</v>
      </c>
      <c r="C157" t="s">
        <v>16</v>
      </c>
      <c r="D157" t="str">
        <f t="shared" si="2"/>
        <v>2017AprilRural+Urban</v>
      </c>
      <c r="E157">
        <v>133</v>
      </c>
      <c r="F157">
        <v>139.4</v>
      </c>
      <c r="G157">
        <v>126.1</v>
      </c>
      <c r="H157">
        <v>137.19999999999999</v>
      </c>
      <c r="I157">
        <v>118.4</v>
      </c>
      <c r="J157">
        <v>139.9</v>
      </c>
      <c r="K157">
        <v>123.4</v>
      </c>
      <c r="L157">
        <v>140.9</v>
      </c>
      <c r="M157">
        <v>118.5</v>
      </c>
      <c r="N157">
        <v>136.5</v>
      </c>
      <c r="O157">
        <v>127.4</v>
      </c>
      <c r="P157">
        <v>144.19999999999999</v>
      </c>
      <c r="Q157">
        <v>133.5</v>
      </c>
      <c r="R157">
        <v>145.4</v>
      </c>
      <c r="S157">
        <v>138</v>
      </c>
      <c r="T157">
        <v>131.1</v>
      </c>
      <c r="U157">
        <v>137</v>
      </c>
      <c r="V157">
        <v>131.69999999999999</v>
      </c>
      <c r="W157">
        <v>129.80000000000001</v>
      </c>
      <c r="X157">
        <v>130.4</v>
      </c>
      <c r="Y157">
        <v>128.1</v>
      </c>
      <c r="Z157">
        <v>116.6</v>
      </c>
      <c r="AA157">
        <v>125.1</v>
      </c>
      <c r="AB157">
        <v>134.5</v>
      </c>
      <c r="AC157">
        <v>123.1</v>
      </c>
      <c r="AD157">
        <v>125.1</v>
      </c>
      <c r="AE157">
        <v>131.1</v>
      </c>
    </row>
    <row r="158" spans="1:31" x14ac:dyDescent="0.25">
      <c r="A158" t="s">
        <v>9</v>
      </c>
      <c r="B158">
        <v>2017</v>
      </c>
      <c r="C158" t="s">
        <v>14</v>
      </c>
      <c r="D158" t="str">
        <f t="shared" si="2"/>
        <v>2017MayRural</v>
      </c>
      <c r="E158">
        <v>133.1</v>
      </c>
      <c r="F158">
        <v>140.30000000000001</v>
      </c>
      <c r="G158">
        <v>126.8</v>
      </c>
      <c r="H158">
        <v>138.19999999999999</v>
      </c>
      <c r="I158">
        <v>120.8</v>
      </c>
      <c r="J158">
        <v>140.19999999999999</v>
      </c>
      <c r="K158">
        <v>123.8</v>
      </c>
      <c r="L158">
        <v>141.80000000000001</v>
      </c>
      <c r="M158">
        <v>118.6</v>
      </c>
      <c r="N158">
        <v>134</v>
      </c>
      <c r="O158">
        <v>130.30000000000001</v>
      </c>
      <c r="P158">
        <v>145.80000000000001</v>
      </c>
      <c r="Q158">
        <v>133.80000000000001</v>
      </c>
      <c r="R158">
        <v>145.5</v>
      </c>
      <c r="S158">
        <v>142.5</v>
      </c>
      <c r="T158">
        <v>137.30000000000001</v>
      </c>
      <c r="U158">
        <v>141.80000000000001</v>
      </c>
      <c r="V158" t="s">
        <v>26</v>
      </c>
      <c r="W158">
        <v>135</v>
      </c>
      <c r="X158">
        <v>134.9</v>
      </c>
      <c r="Y158">
        <v>131.4</v>
      </c>
      <c r="Z158">
        <v>119.4</v>
      </c>
      <c r="AA158">
        <v>129.4</v>
      </c>
      <c r="AB158">
        <v>136.30000000000001</v>
      </c>
      <c r="AC158">
        <v>123.7</v>
      </c>
      <c r="AD158">
        <v>127.9</v>
      </c>
      <c r="AE158">
        <v>133.30000000000001</v>
      </c>
    </row>
    <row r="159" spans="1:31" x14ac:dyDescent="0.25">
      <c r="A159" t="s">
        <v>11</v>
      </c>
      <c r="B159">
        <v>2017</v>
      </c>
      <c r="C159" t="s">
        <v>14</v>
      </c>
      <c r="D159" t="str">
        <f t="shared" si="2"/>
        <v>2017MayUrban</v>
      </c>
      <c r="E159">
        <v>132.6</v>
      </c>
      <c r="F159">
        <v>144.1</v>
      </c>
      <c r="G159">
        <v>125.6</v>
      </c>
      <c r="H159">
        <v>136.80000000000001</v>
      </c>
      <c r="I159">
        <v>113.4</v>
      </c>
      <c r="J159">
        <v>135.19999999999999</v>
      </c>
      <c r="K159">
        <v>129.19999999999999</v>
      </c>
      <c r="L159">
        <v>131.5</v>
      </c>
      <c r="M159">
        <v>121</v>
      </c>
      <c r="N159">
        <v>139.9</v>
      </c>
      <c r="O159">
        <v>123.8</v>
      </c>
      <c r="P159">
        <v>142.9</v>
      </c>
      <c r="Q159">
        <v>133.6</v>
      </c>
      <c r="R159">
        <v>148.30000000000001</v>
      </c>
      <c r="S159">
        <v>131.5</v>
      </c>
      <c r="T159">
        <v>123.2</v>
      </c>
      <c r="U159">
        <v>130.19999999999999</v>
      </c>
      <c r="V159">
        <v>132.1</v>
      </c>
      <c r="W159">
        <v>120.1</v>
      </c>
      <c r="X159">
        <v>126.5</v>
      </c>
      <c r="Y159">
        <v>123.6</v>
      </c>
      <c r="Z159">
        <v>114.3</v>
      </c>
      <c r="AA159">
        <v>122.8</v>
      </c>
      <c r="AB159">
        <v>133.80000000000001</v>
      </c>
      <c r="AC159">
        <v>122</v>
      </c>
      <c r="AD159">
        <v>122.6</v>
      </c>
      <c r="AE159">
        <v>129.30000000000001</v>
      </c>
    </row>
    <row r="160" spans="1:31" x14ac:dyDescent="0.25">
      <c r="A160" t="s">
        <v>12</v>
      </c>
      <c r="B160">
        <v>2017</v>
      </c>
      <c r="C160" t="s">
        <v>14</v>
      </c>
      <c r="D160" t="str">
        <f t="shared" si="2"/>
        <v>2017MayRural+Urban</v>
      </c>
      <c r="E160">
        <v>132.9</v>
      </c>
      <c r="F160">
        <v>141.6</v>
      </c>
      <c r="G160">
        <v>126.3</v>
      </c>
      <c r="H160">
        <v>137.69999999999999</v>
      </c>
      <c r="I160">
        <v>118.1</v>
      </c>
      <c r="J160">
        <v>137.9</v>
      </c>
      <c r="K160">
        <v>125.6</v>
      </c>
      <c r="L160">
        <v>138.30000000000001</v>
      </c>
      <c r="M160">
        <v>119.4</v>
      </c>
      <c r="N160">
        <v>136</v>
      </c>
      <c r="O160">
        <v>127.6</v>
      </c>
      <c r="P160">
        <v>144.5</v>
      </c>
      <c r="Q160">
        <v>133.69999999999999</v>
      </c>
      <c r="R160">
        <v>146.19999999999999</v>
      </c>
      <c r="S160">
        <v>138.19999999999999</v>
      </c>
      <c r="T160">
        <v>131.4</v>
      </c>
      <c r="U160">
        <v>137.19999999999999</v>
      </c>
      <c r="V160">
        <v>132.1</v>
      </c>
      <c r="W160">
        <v>129.4</v>
      </c>
      <c r="X160">
        <v>130.9</v>
      </c>
      <c r="Y160">
        <v>128.4</v>
      </c>
      <c r="Z160">
        <v>116.7</v>
      </c>
      <c r="AA160">
        <v>125.7</v>
      </c>
      <c r="AB160">
        <v>134.80000000000001</v>
      </c>
      <c r="AC160">
        <v>123</v>
      </c>
      <c r="AD160">
        <v>125.3</v>
      </c>
      <c r="AE160">
        <v>131.4</v>
      </c>
    </row>
    <row r="161" spans="1:31" x14ac:dyDescent="0.25">
      <c r="A161" t="s">
        <v>9</v>
      </c>
      <c r="B161">
        <v>2017</v>
      </c>
      <c r="C161" t="s">
        <v>17</v>
      </c>
      <c r="D161" t="str">
        <f t="shared" si="2"/>
        <v>2017JuneRural</v>
      </c>
      <c r="E161">
        <v>133.5</v>
      </c>
      <c r="F161">
        <v>143.69999999999999</v>
      </c>
      <c r="G161">
        <v>128</v>
      </c>
      <c r="H161">
        <v>138.6</v>
      </c>
      <c r="I161">
        <v>120.9</v>
      </c>
      <c r="J161">
        <v>140.9</v>
      </c>
      <c r="K161">
        <v>128.80000000000001</v>
      </c>
      <c r="L161">
        <v>140.19999999999999</v>
      </c>
      <c r="M161">
        <v>118.9</v>
      </c>
      <c r="N161">
        <v>133.5</v>
      </c>
      <c r="O161">
        <v>130.4</v>
      </c>
      <c r="P161">
        <v>146.5</v>
      </c>
      <c r="Q161">
        <v>134.9</v>
      </c>
      <c r="R161">
        <v>145.80000000000001</v>
      </c>
      <c r="S161">
        <v>143.1</v>
      </c>
      <c r="T161">
        <v>137.69999999999999</v>
      </c>
      <c r="U161">
        <v>142.30000000000001</v>
      </c>
      <c r="V161" t="s">
        <v>26</v>
      </c>
      <c r="W161">
        <v>134.80000000000001</v>
      </c>
      <c r="X161">
        <v>135.19999999999999</v>
      </c>
      <c r="Y161">
        <v>131.30000000000001</v>
      </c>
      <c r="Z161">
        <v>119.4</v>
      </c>
      <c r="AA161">
        <v>129.80000000000001</v>
      </c>
      <c r="AB161">
        <v>136.9</v>
      </c>
      <c r="AC161">
        <v>124.1</v>
      </c>
      <c r="AD161">
        <v>128.1</v>
      </c>
      <c r="AE161">
        <v>133.9</v>
      </c>
    </row>
    <row r="162" spans="1:31" x14ac:dyDescent="0.25">
      <c r="A162" t="s">
        <v>11</v>
      </c>
      <c r="B162">
        <v>2017</v>
      </c>
      <c r="C162" t="s">
        <v>17</v>
      </c>
      <c r="D162" t="str">
        <f t="shared" si="2"/>
        <v>2017JuneUrban</v>
      </c>
      <c r="E162">
        <v>132.9</v>
      </c>
      <c r="F162">
        <v>148.69999999999999</v>
      </c>
      <c r="G162">
        <v>128.30000000000001</v>
      </c>
      <c r="H162">
        <v>137.30000000000001</v>
      </c>
      <c r="I162">
        <v>113.5</v>
      </c>
      <c r="J162">
        <v>137.19999999999999</v>
      </c>
      <c r="K162">
        <v>142.19999999999999</v>
      </c>
      <c r="L162">
        <v>128.19999999999999</v>
      </c>
      <c r="M162">
        <v>120.9</v>
      </c>
      <c r="N162">
        <v>138.80000000000001</v>
      </c>
      <c r="O162">
        <v>124.2</v>
      </c>
      <c r="P162">
        <v>143.1</v>
      </c>
      <c r="Q162">
        <v>135.69999999999999</v>
      </c>
      <c r="R162">
        <v>148.6</v>
      </c>
      <c r="S162">
        <v>131.5</v>
      </c>
      <c r="T162">
        <v>123.2</v>
      </c>
      <c r="U162">
        <v>130.19999999999999</v>
      </c>
      <c r="V162">
        <v>131.4</v>
      </c>
      <c r="W162">
        <v>119</v>
      </c>
      <c r="X162">
        <v>126.8</v>
      </c>
      <c r="Y162">
        <v>123.8</v>
      </c>
      <c r="Z162">
        <v>113.9</v>
      </c>
      <c r="AA162">
        <v>122.9</v>
      </c>
      <c r="AB162">
        <v>134.30000000000001</v>
      </c>
      <c r="AC162">
        <v>122.5</v>
      </c>
      <c r="AD162">
        <v>122.7</v>
      </c>
      <c r="AE162">
        <v>129.9</v>
      </c>
    </row>
    <row r="163" spans="1:31" x14ac:dyDescent="0.25">
      <c r="A163" t="s">
        <v>12</v>
      </c>
      <c r="B163">
        <v>2017</v>
      </c>
      <c r="C163" t="s">
        <v>17</v>
      </c>
      <c r="D163" t="str">
        <f t="shared" si="2"/>
        <v>2017JuneRural+Urban</v>
      </c>
      <c r="E163">
        <v>133.30000000000001</v>
      </c>
      <c r="F163">
        <v>145.5</v>
      </c>
      <c r="G163">
        <v>128.1</v>
      </c>
      <c r="H163">
        <v>138.1</v>
      </c>
      <c r="I163">
        <v>118.2</v>
      </c>
      <c r="J163">
        <v>139.19999999999999</v>
      </c>
      <c r="K163">
        <v>133.30000000000001</v>
      </c>
      <c r="L163">
        <v>136.19999999999999</v>
      </c>
      <c r="M163">
        <v>119.6</v>
      </c>
      <c r="N163">
        <v>135.30000000000001</v>
      </c>
      <c r="O163">
        <v>127.8</v>
      </c>
      <c r="P163">
        <v>144.9</v>
      </c>
      <c r="Q163">
        <v>135.19999999999999</v>
      </c>
      <c r="R163">
        <v>146.5</v>
      </c>
      <c r="S163">
        <v>138.5</v>
      </c>
      <c r="T163">
        <v>131.69999999999999</v>
      </c>
      <c r="U163">
        <v>137.5</v>
      </c>
      <c r="V163">
        <v>131.4</v>
      </c>
      <c r="W163">
        <v>128.80000000000001</v>
      </c>
      <c r="X163">
        <v>131.19999999999999</v>
      </c>
      <c r="Y163">
        <v>128.5</v>
      </c>
      <c r="Z163">
        <v>116.5</v>
      </c>
      <c r="AA163">
        <v>125.9</v>
      </c>
      <c r="AB163">
        <v>135.4</v>
      </c>
      <c r="AC163">
        <v>123.4</v>
      </c>
      <c r="AD163">
        <v>125.5</v>
      </c>
      <c r="AE163">
        <v>132</v>
      </c>
    </row>
    <row r="164" spans="1:31" x14ac:dyDescent="0.25">
      <c r="A164" t="s">
        <v>9</v>
      </c>
      <c r="B164">
        <v>2017</v>
      </c>
      <c r="C164" t="s">
        <v>18</v>
      </c>
      <c r="D164" t="str">
        <f t="shared" si="2"/>
        <v>2017JulyRural</v>
      </c>
      <c r="E164">
        <v>134</v>
      </c>
      <c r="F164">
        <v>144.19999999999999</v>
      </c>
      <c r="G164">
        <v>129.80000000000001</v>
      </c>
      <c r="H164">
        <v>139</v>
      </c>
      <c r="I164">
        <v>120.9</v>
      </c>
      <c r="J164">
        <v>143.9</v>
      </c>
      <c r="K164">
        <v>151.5</v>
      </c>
      <c r="L164">
        <v>138.1</v>
      </c>
      <c r="M164">
        <v>120</v>
      </c>
      <c r="N164">
        <v>133.9</v>
      </c>
      <c r="O164">
        <v>131.4</v>
      </c>
      <c r="P164">
        <v>147.69999999999999</v>
      </c>
      <c r="Q164">
        <v>138.5</v>
      </c>
      <c r="R164">
        <v>147.4</v>
      </c>
      <c r="S164">
        <v>144.30000000000001</v>
      </c>
      <c r="T164">
        <v>138.1</v>
      </c>
      <c r="U164">
        <v>143.5</v>
      </c>
      <c r="V164" t="s">
        <v>26</v>
      </c>
      <c r="W164">
        <v>135.30000000000001</v>
      </c>
      <c r="X164">
        <v>136.1</v>
      </c>
      <c r="Y164">
        <v>132.1</v>
      </c>
      <c r="Z164">
        <v>119.1</v>
      </c>
      <c r="AA164">
        <v>130.6</v>
      </c>
      <c r="AB164">
        <v>138.6</v>
      </c>
      <c r="AC164">
        <v>124.4</v>
      </c>
      <c r="AD164">
        <v>128.6</v>
      </c>
      <c r="AE164">
        <v>136.19999999999999</v>
      </c>
    </row>
    <row r="165" spans="1:31" x14ac:dyDescent="0.25">
      <c r="A165" t="s">
        <v>11</v>
      </c>
      <c r="B165">
        <v>2017</v>
      </c>
      <c r="C165" t="s">
        <v>18</v>
      </c>
      <c r="D165" t="str">
        <f t="shared" si="2"/>
        <v>2017JulyUrban</v>
      </c>
      <c r="E165">
        <v>132.80000000000001</v>
      </c>
      <c r="F165">
        <v>148.4</v>
      </c>
      <c r="G165">
        <v>129.4</v>
      </c>
      <c r="H165">
        <v>137.69999999999999</v>
      </c>
      <c r="I165">
        <v>113.4</v>
      </c>
      <c r="J165">
        <v>139.4</v>
      </c>
      <c r="K165">
        <v>175.1</v>
      </c>
      <c r="L165">
        <v>124.7</v>
      </c>
      <c r="M165">
        <v>121.5</v>
      </c>
      <c r="N165">
        <v>137.80000000000001</v>
      </c>
      <c r="O165">
        <v>124.4</v>
      </c>
      <c r="P165">
        <v>143.69999999999999</v>
      </c>
      <c r="Q165">
        <v>139.80000000000001</v>
      </c>
      <c r="R165">
        <v>150.5</v>
      </c>
      <c r="S165">
        <v>131.6</v>
      </c>
      <c r="T165">
        <v>123.7</v>
      </c>
      <c r="U165">
        <v>130.4</v>
      </c>
      <c r="V165">
        <v>132.6</v>
      </c>
      <c r="W165">
        <v>119.7</v>
      </c>
      <c r="X165">
        <v>127.2</v>
      </c>
      <c r="Y165">
        <v>125</v>
      </c>
      <c r="Z165">
        <v>113.2</v>
      </c>
      <c r="AA165">
        <v>123.5</v>
      </c>
      <c r="AB165">
        <v>135.5</v>
      </c>
      <c r="AC165">
        <v>122.4</v>
      </c>
      <c r="AD165">
        <v>123</v>
      </c>
      <c r="AE165">
        <v>131.80000000000001</v>
      </c>
    </row>
    <row r="166" spans="1:31" x14ac:dyDescent="0.25">
      <c r="A166" t="s">
        <v>12</v>
      </c>
      <c r="B166">
        <v>2017</v>
      </c>
      <c r="C166" t="s">
        <v>18</v>
      </c>
      <c r="D166" t="str">
        <f t="shared" si="2"/>
        <v>2017JulyRural+Urban</v>
      </c>
      <c r="E166">
        <v>133.6</v>
      </c>
      <c r="F166">
        <v>145.69999999999999</v>
      </c>
      <c r="G166">
        <v>129.6</v>
      </c>
      <c r="H166">
        <v>138.5</v>
      </c>
      <c r="I166">
        <v>118.1</v>
      </c>
      <c r="J166">
        <v>141.80000000000001</v>
      </c>
      <c r="K166">
        <v>159.5</v>
      </c>
      <c r="L166">
        <v>133.6</v>
      </c>
      <c r="M166">
        <v>120.5</v>
      </c>
      <c r="N166">
        <v>135.19999999999999</v>
      </c>
      <c r="O166">
        <v>128.5</v>
      </c>
      <c r="P166">
        <v>145.80000000000001</v>
      </c>
      <c r="Q166">
        <v>139</v>
      </c>
      <c r="R166">
        <v>148.19999999999999</v>
      </c>
      <c r="S166">
        <v>139.30000000000001</v>
      </c>
      <c r="T166">
        <v>132.1</v>
      </c>
      <c r="U166">
        <v>138.30000000000001</v>
      </c>
      <c r="V166">
        <v>132.6</v>
      </c>
      <c r="W166">
        <v>129.4</v>
      </c>
      <c r="X166">
        <v>131.9</v>
      </c>
      <c r="Y166">
        <v>129.4</v>
      </c>
      <c r="Z166">
        <v>116</v>
      </c>
      <c r="AA166">
        <v>126.6</v>
      </c>
      <c r="AB166">
        <v>136.80000000000001</v>
      </c>
      <c r="AC166">
        <v>123.6</v>
      </c>
      <c r="AD166">
        <v>125.9</v>
      </c>
      <c r="AE166">
        <v>134.19999999999999</v>
      </c>
    </row>
    <row r="167" spans="1:31" x14ac:dyDescent="0.25">
      <c r="A167" t="s">
        <v>9</v>
      </c>
      <c r="B167">
        <v>2017</v>
      </c>
      <c r="C167" t="s">
        <v>19</v>
      </c>
      <c r="D167" t="str">
        <f t="shared" si="2"/>
        <v>2017AugustRural</v>
      </c>
      <c r="E167">
        <v>134.80000000000001</v>
      </c>
      <c r="F167">
        <v>143.1</v>
      </c>
      <c r="G167">
        <v>130</v>
      </c>
      <c r="H167">
        <v>139.4</v>
      </c>
      <c r="I167">
        <v>120.5</v>
      </c>
      <c r="J167">
        <v>148</v>
      </c>
      <c r="K167">
        <v>162.9</v>
      </c>
      <c r="L167">
        <v>137.4</v>
      </c>
      <c r="M167">
        <v>120.8</v>
      </c>
      <c r="N167">
        <v>134.69999999999999</v>
      </c>
      <c r="O167">
        <v>131.6</v>
      </c>
      <c r="P167">
        <v>148.69999999999999</v>
      </c>
      <c r="Q167">
        <v>140.6</v>
      </c>
      <c r="R167">
        <v>149</v>
      </c>
      <c r="S167">
        <v>145.30000000000001</v>
      </c>
      <c r="T167">
        <v>139.19999999999999</v>
      </c>
      <c r="U167">
        <v>144.5</v>
      </c>
      <c r="V167" t="s">
        <v>26</v>
      </c>
      <c r="W167">
        <v>136.4</v>
      </c>
      <c r="X167">
        <v>137.30000000000001</v>
      </c>
      <c r="Y167">
        <v>133</v>
      </c>
      <c r="Z167">
        <v>120.3</v>
      </c>
      <c r="AA167">
        <v>131.5</v>
      </c>
      <c r="AB167">
        <v>140.19999999999999</v>
      </c>
      <c r="AC167">
        <v>125.4</v>
      </c>
      <c r="AD167">
        <v>129.69999999999999</v>
      </c>
      <c r="AE167">
        <v>137.80000000000001</v>
      </c>
    </row>
    <row r="168" spans="1:31" x14ac:dyDescent="0.25">
      <c r="A168" t="s">
        <v>11</v>
      </c>
      <c r="B168">
        <v>2017</v>
      </c>
      <c r="C168" t="s">
        <v>19</v>
      </c>
      <c r="D168" t="str">
        <f t="shared" si="2"/>
        <v>2017AugustUrban</v>
      </c>
      <c r="E168">
        <v>133.19999999999999</v>
      </c>
      <c r="F168">
        <v>143.9</v>
      </c>
      <c r="G168">
        <v>128.30000000000001</v>
      </c>
      <c r="H168">
        <v>138.30000000000001</v>
      </c>
      <c r="I168">
        <v>114.1</v>
      </c>
      <c r="J168">
        <v>142.69999999999999</v>
      </c>
      <c r="K168">
        <v>179.8</v>
      </c>
      <c r="L168">
        <v>123.5</v>
      </c>
      <c r="M168">
        <v>122.1</v>
      </c>
      <c r="N168">
        <v>137.5</v>
      </c>
      <c r="O168">
        <v>124.6</v>
      </c>
      <c r="P168">
        <v>144.5</v>
      </c>
      <c r="Q168">
        <v>140.5</v>
      </c>
      <c r="R168">
        <v>152.1</v>
      </c>
      <c r="S168">
        <v>132.69999999999999</v>
      </c>
      <c r="T168">
        <v>124.3</v>
      </c>
      <c r="U168">
        <v>131.4</v>
      </c>
      <c r="V168">
        <v>134.4</v>
      </c>
      <c r="W168">
        <v>118.9</v>
      </c>
      <c r="X168">
        <v>127.7</v>
      </c>
      <c r="Y168">
        <v>125.7</v>
      </c>
      <c r="Z168">
        <v>114.6</v>
      </c>
      <c r="AA168">
        <v>124.1</v>
      </c>
      <c r="AB168">
        <v>135.69999999999999</v>
      </c>
      <c r="AC168">
        <v>123.3</v>
      </c>
      <c r="AD168">
        <v>123.8</v>
      </c>
      <c r="AE168">
        <v>132.69999999999999</v>
      </c>
    </row>
    <row r="169" spans="1:31" x14ac:dyDescent="0.25">
      <c r="A169" t="s">
        <v>12</v>
      </c>
      <c r="B169">
        <v>2017</v>
      </c>
      <c r="C169" t="s">
        <v>19</v>
      </c>
      <c r="D169" t="str">
        <f t="shared" si="2"/>
        <v>2017AugustRural+Urban</v>
      </c>
      <c r="E169">
        <v>134.30000000000001</v>
      </c>
      <c r="F169">
        <v>143.4</v>
      </c>
      <c r="G169">
        <v>129.30000000000001</v>
      </c>
      <c r="H169">
        <v>139</v>
      </c>
      <c r="I169">
        <v>118.1</v>
      </c>
      <c r="J169">
        <v>145.5</v>
      </c>
      <c r="K169">
        <v>168.6</v>
      </c>
      <c r="L169">
        <v>132.69999999999999</v>
      </c>
      <c r="M169">
        <v>121.2</v>
      </c>
      <c r="N169">
        <v>135.6</v>
      </c>
      <c r="O169">
        <v>128.69999999999999</v>
      </c>
      <c r="P169">
        <v>146.80000000000001</v>
      </c>
      <c r="Q169">
        <v>140.6</v>
      </c>
      <c r="R169">
        <v>149.80000000000001</v>
      </c>
      <c r="S169">
        <v>140.30000000000001</v>
      </c>
      <c r="T169">
        <v>133</v>
      </c>
      <c r="U169">
        <v>139.30000000000001</v>
      </c>
      <c r="V169">
        <v>134.4</v>
      </c>
      <c r="W169">
        <v>129.80000000000001</v>
      </c>
      <c r="X169">
        <v>132.80000000000001</v>
      </c>
      <c r="Y169">
        <v>130.19999999999999</v>
      </c>
      <c r="Z169">
        <v>117.3</v>
      </c>
      <c r="AA169">
        <v>127.3</v>
      </c>
      <c r="AB169">
        <v>137.6</v>
      </c>
      <c r="AC169">
        <v>124.5</v>
      </c>
      <c r="AD169">
        <v>126.8</v>
      </c>
      <c r="AE169">
        <v>135.4</v>
      </c>
    </row>
    <row r="170" spans="1:31" x14ac:dyDescent="0.25">
      <c r="A170" t="s">
        <v>9</v>
      </c>
      <c r="B170">
        <v>2017</v>
      </c>
      <c r="C170" t="s">
        <v>20</v>
      </c>
      <c r="D170" t="str">
        <f t="shared" si="2"/>
        <v>2017SeptemberRural</v>
      </c>
      <c r="E170">
        <v>135.19999999999999</v>
      </c>
      <c r="F170">
        <v>142</v>
      </c>
      <c r="G170">
        <v>130.5</v>
      </c>
      <c r="H170">
        <v>140.19999999999999</v>
      </c>
      <c r="I170">
        <v>120.7</v>
      </c>
      <c r="J170">
        <v>147.80000000000001</v>
      </c>
      <c r="K170">
        <v>154.5</v>
      </c>
      <c r="L170">
        <v>137.1</v>
      </c>
      <c r="M170">
        <v>121</v>
      </c>
      <c r="N170">
        <v>134.69999999999999</v>
      </c>
      <c r="O170">
        <v>131.69999999999999</v>
      </c>
      <c r="P170">
        <v>149.30000000000001</v>
      </c>
      <c r="Q170">
        <v>139.6</v>
      </c>
      <c r="R170">
        <v>149.80000000000001</v>
      </c>
      <c r="S170">
        <v>146.1</v>
      </c>
      <c r="T170">
        <v>139.69999999999999</v>
      </c>
      <c r="U170">
        <v>145.19999999999999</v>
      </c>
      <c r="V170" t="s">
        <v>26</v>
      </c>
      <c r="W170">
        <v>137.4</v>
      </c>
      <c r="X170">
        <v>137.9</v>
      </c>
      <c r="Y170">
        <v>133.4</v>
      </c>
      <c r="Z170">
        <v>121.2</v>
      </c>
      <c r="AA170">
        <v>132.30000000000001</v>
      </c>
      <c r="AB170">
        <v>139.6</v>
      </c>
      <c r="AC170">
        <v>126.7</v>
      </c>
      <c r="AD170">
        <v>130.30000000000001</v>
      </c>
      <c r="AE170">
        <v>137.6</v>
      </c>
    </row>
    <row r="171" spans="1:31" x14ac:dyDescent="0.25">
      <c r="A171" t="s">
        <v>11</v>
      </c>
      <c r="B171">
        <v>2017</v>
      </c>
      <c r="C171" t="s">
        <v>20</v>
      </c>
      <c r="D171" t="str">
        <f t="shared" si="2"/>
        <v>2017SeptemberUrban</v>
      </c>
      <c r="E171">
        <v>133.6</v>
      </c>
      <c r="F171">
        <v>143</v>
      </c>
      <c r="G171">
        <v>129.69999999999999</v>
      </c>
      <c r="H171">
        <v>138.69999999999999</v>
      </c>
      <c r="I171">
        <v>114.5</v>
      </c>
      <c r="J171">
        <v>137.5</v>
      </c>
      <c r="K171">
        <v>160.69999999999999</v>
      </c>
      <c r="L171">
        <v>124.5</v>
      </c>
      <c r="M171">
        <v>122.4</v>
      </c>
      <c r="N171">
        <v>137.30000000000001</v>
      </c>
      <c r="O171">
        <v>124.8</v>
      </c>
      <c r="P171">
        <v>145</v>
      </c>
      <c r="Q171">
        <v>138</v>
      </c>
      <c r="R171">
        <v>153.6</v>
      </c>
      <c r="S171">
        <v>133.30000000000001</v>
      </c>
      <c r="T171">
        <v>124.6</v>
      </c>
      <c r="U171">
        <v>132</v>
      </c>
      <c r="V171">
        <v>135.69999999999999</v>
      </c>
      <c r="W171">
        <v>120.6</v>
      </c>
      <c r="X171">
        <v>128.1</v>
      </c>
      <c r="Y171">
        <v>126.1</v>
      </c>
      <c r="Z171">
        <v>115.7</v>
      </c>
      <c r="AA171">
        <v>124.5</v>
      </c>
      <c r="AB171">
        <v>135.9</v>
      </c>
      <c r="AC171">
        <v>124.4</v>
      </c>
      <c r="AD171">
        <v>124.5</v>
      </c>
      <c r="AE171">
        <v>132.4</v>
      </c>
    </row>
    <row r="172" spans="1:31" x14ac:dyDescent="0.25">
      <c r="A172" t="s">
        <v>12</v>
      </c>
      <c r="B172">
        <v>2017</v>
      </c>
      <c r="C172" t="s">
        <v>20</v>
      </c>
      <c r="D172" t="str">
        <f t="shared" si="2"/>
        <v>2017SeptemberRural+Urban</v>
      </c>
      <c r="E172">
        <v>134.69999999999999</v>
      </c>
      <c r="F172">
        <v>142.4</v>
      </c>
      <c r="G172">
        <v>130.19999999999999</v>
      </c>
      <c r="H172">
        <v>139.6</v>
      </c>
      <c r="I172">
        <v>118.4</v>
      </c>
      <c r="J172">
        <v>143</v>
      </c>
      <c r="K172">
        <v>156.6</v>
      </c>
      <c r="L172">
        <v>132.9</v>
      </c>
      <c r="M172">
        <v>121.5</v>
      </c>
      <c r="N172">
        <v>135.6</v>
      </c>
      <c r="O172">
        <v>128.80000000000001</v>
      </c>
      <c r="P172">
        <v>147.30000000000001</v>
      </c>
      <c r="Q172">
        <v>139</v>
      </c>
      <c r="R172">
        <v>150.80000000000001</v>
      </c>
      <c r="S172">
        <v>141.1</v>
      </c>
      <c r="T172">
        <v>133.4</v>
      </c>
      <c r="U172">
        <v>140</v>
      </c>
      <c r="V172">
        <v>135.69999999999999</v>
      </c>
      <c r="W172">
        <v>131</v>
      </c>
      <c r="X172">
        <v>133.30000000000001</v>
      </c>
      <c r="Y172">
        <v>130.6</v>
      </c>
      <c r="Z172">
        <v>118.3</v>
      </c>
      <c r="AA172">
        <v>127.9</v>
      </c>
      <c r="AB172">
        <v>137.4</v>
      </c>
      <c r="AC172">
        <v>125.7</v>
      </c>
      <c r="AD172">
        <v>127.5</v>
      </c>
      <c r="AE172">
        <v>135.19999999999999</v>
      </c>
    </row>
    <row r="173" spans="1:31" x14ac:dyDescent="0.25">
      <c r="A173" t="s">
        <v>9</v>
      </c>
      <c r="B173">
        <v>2017</v>
      </c>
      <c r="C173" t="s">
        <v>21</v>
      </c>
      <c r="D173" t="str">
        <f t="shared" si="2"/>
        <v>2017OctoberRural</v>
      </c>
      <c r="E173">
        <v>135.9</v>
      </c>
      <c r="F173">
        <v>141.9</v>
      </c>
      <c r="G173">
        <v>131</v>
      </c>
      <c r="H173">
        <v>141.5</v>
      </c>
      <c r="I173">
        <v>121.4</v>
      </c>
      <c r="J173">
        <v>146.69999999999999</v>
      </c>
      <c r="K173">
        <v>157.1</v>
      </c>
      <c r="L173">
        <v>136.4</v>
      </c>
      <c r="M173">
        <v>121.4</v>
      </c>
      <c r="N173">
        <v>135.6</v>
      </c>
      <c r="O173">
        <v>131.30000000000001</v>
      </c>
      <c r="P173">
        <v>150.30000000000001</v>
      </c>
      <c r="Q173">
        <v>140.4</v>
      </c>
      <c r="R173">
        <v>150.5</v>
      </c>
      <c r="S173">
        <v>147.19999999999999</v>
      </c>
      <c r="T173">
        <v>140.6</v>
      </c>
      <c r="U173">
        <v>146.19999999999999</v>
      </c>
      <c r="V173" t="s">
        <v>26</v>
      </c>
      <c r="W173">
        <v>138.1</v>
      </c>
      <c r="X173">
        <v>138.4</v>
      </c>
      <c r="Y173">
        <v>134.19999999999999</v>
      </c>
      <c r="Z173">
        <v>121</v>
      </c>
      <c r="AA173">
        <v>133</v>
      </c>
      <c r="AB173">
        <v>140.1</v>
      </c>
      <c r="AC173">
        <v>127.4</v>
      </c>
      <c r="AD173">
        <v>130.69999999999999</v>
      </c>
      <c r="AE173">
        <v>138.30000000000001</v>
      </c>
    </row>
    <row r="174" spans="1:31" x14ac:dyDescent="0.25">
      <c r="A174" t="s">
        <v>11</v>
      </c>
      <c r="B174">
        <v>2017</v>
      </c>
      <c r="C174" t="s">
        <v>21</v>
      </c>
      <c r="D174" t="str">
        <f t="shared" si="2"/>
        <v>2017OctoberUrban</v>
      </c>
      <c r="E174">
        <v>133.9</v>
      </c>
      <c r="F174">
        <v>142.80000000000001</v>
      </c>
      <c r="G174">
        <v>131.4</v>
      </c>
      <c r="H174">
        <v>139.1</v>
      </c>
      <c r="I174">
        <v>114.9</v>
      </c>
      <c r="J174">
        <v>135.6</v>
      </c>
      <c r="K174">
        <v>173.2</v>
      </c>
      <c r="L174">
        <v>124.1</v>
      </c>
      <c r="M174">
        <v>122.6</v>
      </c>
      <c r="N174">
        <v>137.80000000000001</v>
      </c>
      <c r="O174">
        <v>125.1</v>
      </c>
      <c r="P174">
        <v>145.5</v>
      </c>
      <c r="Q174">
        <v>139.69999999999999</v>
      </c>
      <c r="R174">
        <v>154.6</v>
      </c>
      <c r="S174">
        <v>134</v>
      </c>
      <c r="T174">
        <v>124.9</v>
      </c>
      <c r="U174">
        <v>132.6</v>
      </c>
      <c r="V174">
        <v>137.30000000000001</v>
      </c>
      <c r="W174">
        <v>122.6</v>
      </c>
      <c r="X174">
        <v>128.30000000000001</v>
      </c>
      <c r="Y174">
        <v>126.6</v>
      </c>
      <c r="Z174">
        <v>115</v>
      </c>
      <c r="AA174">
        <v>124.8</v>
      </c>
      <c r="AB174">
        <v>136.30000000000001</v>
      </c>
      <c r="AC174">
        <v>124.6</v>
      </c>
      <c r="AD174">
        <v>124.5</v>
      </c>
      <c r="AE174">
        <v>133.5</v>
      </c>
    </row>
    <row r="175" spans="1:31" x14ac:dyDescent="0.25">
      <c r="A175" t="s">
        <v>12</v>
      </c>
      <c r="B175">
        <v>2017</v>
      </c>
      <c r="C175" t="s">
        <v>21</v>
      </c>
      <c r="D175" t="str">
        <f t="shared" si="2"/>
        <v>2017OctoberRural+Urban</v>
      </c>
      <c r="E175">
        <v>135.30000000000001</v>
      </c>
      <c r="F175">
        <v>142.19999999999999</v>
      </c>
      <c r="G175">
        <v>131.19999999999999</v>
      </c>
      <c r="H175">
        <v>140.6</v>
      </c>
      <c r="I175">
        <v>119</v>
      </c>
      <c r="J175">
        <v>141.5</v>
      </c>
      <c r="K175">
        <v>162.6</v>
      </c>
      <c r="L175">
        <v>132.30000000000001</v>
      </c>
      <c r="M175">
        <v>121.8</v>
      </c>
      <c r="N175">
        <v>136.30000000000001</v>
      </c>
      <c r="O175">
        <v>128.69999999999999</v>
      </c>
      <c r="P175">
        <v>148.1</v>
      </c>
      <c r="Q175">
        <v>140.1</v>
      </c>
      <c r="R175">
        <v>151.6</v>
      </c>
      <c r="S175">
        <v>142</v>
      </c>
      <c r="T175">
        <v>134.1</v>
      </c>
      <c r="U175">
        <v>140.80000000000001</v>
      </c>
      <c r="V175">
        <v>137.30000000000001</v>
      </c>
      <c r="W175">
        <v>132.19999999999999</v>
      </c>
      <c r="X175">
        <v>133.6</v>
      </c>
      <c r="Y175">
        <v>131.30000000000001</v>
      </c>
      <c r="Z175">
        <v>117.8</v>
      </c>
      <c r="AA175">
        <v>128.4</v>
      </c>
      <c r="AB175">
        <v>137.9</v>
      </c>
      <c r="AC175">
        <v>126.2</v>
      </c>
      <c r="AD175">
        <v>127.7</v>
      </c>
      <c r="AE175">
        <v>136.1</v>
      </c>
    </row>
    <row r="176" spans="1:31" x14ac:dyDescent="0.25">
      <c r="A176" t="s">
        <v>9</v>
      </c>
      <c r="B176">
        <v>2017</v>
      </c>
      <c r="C176" t="s">
        <v>23</v>
      </c>
      <c r="D176" t="str">
        <f t="shared" si="2"/>
        <v>2017NovemberRural</v>
      </c>
      <c r="E176">
        <v>136.30000000000001</v>
      </c>
      <c r="F176">
        <v>142.5</v>
      </c>
      <c r="G176">
        <v>140.5</v>
      </c>
      <c r="H176">
        <v>141.5</v>
      </c>
      <c r="I176">
        <v>121.6</v>
      </c>
      <c r="J176">
        <v>147.30000000000001</v>
      </c>
      <c r="K176">
        <v>168</v>
      </c>
      <c r="L176">
        <v>135.80000000000001</v>
      </c>
      <c r="M176">
        <v>122.5</v>
      </c>
      <c r="N176">
        <v>136</v>
      </c>
      <c r="O176">
        <v>131.9</v>
      </c>
      <c r="P176">
        <v>151.4</v>
      </c>
      <c r="Q176">
        <v>142.4</v>
      </c>
      <c r="R176">
        <v>152.1</v>
      </c>
      <c r="S176">
        <v>148.19999999999999</v>
      </c>
      <c r="T176">
        <v>141.5</v>
      </c>
      <c r="U176">
        <v>147.30000000000001</v>
      </c>
      <c r="V176" t="s">
        <v>26</v>
      </c>
      <c r="W176">
        <v>141.1</v>
      </c>
      <c r="X176">
        <v>139.4</v>
      </c>
      <c r="Y176">
        <v>135.80000000000001</v>
      </c>
      <c r="Z176">
        <v>121.6</v>
      </c>
      <c r="AA176">
        <v>133.69999999999999</v>
      </c>
      <c r="AB176">
        <v>141.5</v>
      </c>
      <c r="AC176">
        <v>128.1</v>
      </c>
      <c r="AD176">
        <v>131.69999999999999</v>
      </c>
      <c r="AE176">
        <v>140</v>
      </c>
    </row>
    <row r="177" spans="1:31" x14ac:dyDescent="0.25">
      <c r="A177" t="s">
        <v>11</v>
      </c>
      <c r="B177">
        <v>2017</v>
      </c>
      <c r="C177" t="s">
        <v>23</v>
      </c>
      <c r="D177" t="str">
        <f t="shared" si="2"/>
        <v>2017NovemberUrban</v>
      </c>
      <c r="E177">
        <v>134.30000000000001</v>
      </c>
      <c r="F177">
        <v>142.1</v>
      </c>
      <c r="G177">
        <v>146.69999999999999</v>
      </c>
      <c r="H177">
        <v>139.5</v>
      </c>
      <c r="I177">
        <v>115.2</v>
      </c>
      <c r="J177">
        <v>136.4</v>
      </c>
      <c r="K177">
        <v>185.2</v>
      </c>
      <c r="L177">
        <v>122.2</v>
      </c>
      <c r="M177">
        <v>123.9</v>
      </c>
      <c r="N177">
        <v>138.30000000000001</v>
      </c>
      <c r="O177">
        <v>125.4</v>
      </c>
      <c r="P177">
        <v>146</v>
      </c>
      <c r="Q177">
        <v>141.5</v>
      </c>
      <c r="R177">
        <v>156.19999999999999</v>
      </c>
      <c r="S177">
        <v>135</v>
      </c>
      <c r="T177">
        <v>125.4</v>
      </c>
      <c r="U177">
        <v>133.5</v>
      </c>
      <c r="V177">
        <v>138.6</v>
      </c>
      <c r="W177">
        <v>125.7</v>
      </c>
      <c r="X177">
        <v>128.80000000000001</v>
      </c>
      <c r="Y177">
        <v>127.4</v>
      </c>
      <c r="Z177">
        <v>115.3</v>
      </c>
      <c r="AA177">
        <v>125.1</v>
      </c>
      <c r="AB177">
        <v>136.6</v>
      </c>
      <c r="AC177">
        <v>124.9</v>
      </c>
      <c r="AD177">
        <v>124.9</v>
      </c>
      <c r="AE177">
        <v>134.80000000000001</v>
      </c>
    </row>
    <row r="178" spans="1:31" x14ac:dyDescent="0.25">
      <c r="A178" t="s">
        <v>12</v>
      </c>
      <c r="B178">
        <v>2017</v>
      </c>
      <c r="C178" t="s">
        <v>23</v>
      </c>
      <c r="D178" t="str">
        <f t="shared" si="2"/>
        <v>2017NovemberRural+Urban</v>
      </c>
      <c r="E178">
        <v>135.69999999999999</v>
      </c>
      <c r="F178">
        <v>142.4</v>
      </c>
      <c r="G178">
        <v>142.9</v>
      </c>
      <c r="H178">
        <v>140.80000000000001</v>
      </c>
      <c r="I178">
        <v>119.2</v>
      </c>
      <c r="J178">
        <v>142.19999999999999</v>
      </c>
      <c r="K178">
        <v>173.8</v>
      </c>
      <c r="L178">
        <v>131.19999999999999</v>
      </c>
      <c r="M178">
        <v>123</v>
      </c>
      <c r="N178">
        <v>136.80000000000001</v>
      </c>
      <c r="O178">
        <v>129.19999999999999</v>
      </c>
      <c r="P178">
        <v>148.9</v>
      </c>
      <c r="Q178">
        <v>142.1</v>
      </c>
      <c r="R178">
        <v>153.19999999999999</v>
      </c>
      <c r="S178">
        <v>143</v>
      </c>
      <c r="T178">
        <v>134.80000000000001</v>
      </c>
      <c r="U178">
        <v>141.80000000000001</v>
      </c>
      <c r="V178">
        <v>138.6</v>
      </c>
      <c r="W178">
        <v>135.30000000000001</v>
      </c>
      <c r="X178">
        <v>134.4</v>
      </c>
      <c r="Y178">
        <v>132.6</v>
      </c>
      <c r="Z178">
        <v>118.3</v>
      </c>
      <c r="AA178">
        <v>128.9</v>
      </c>
      <c r="AB178">
        <v>138.6</v>
      </c>
      <c r="AC178">
        <v>126.8</v>
      </c>
      <c r="AD178">
        <v>128.4</v>
      </c>
      <c r="AE178">
        <v>137.6</v>
      </c>
    </row>
    <row r="179" spans="1:31" x14ac:dyDescent="0.25">
      <c r="A179" t="s">
        <v>9</v>
      </c>
      <c r="B179">
        <v>2017</v>
      </c>
      <c r="C179" t="s">
        <v>24</v>
      </c>
      <c r="D179" t="str">
        <f t="shared" si="2"/>
        <v>2017DecemberRural</v>
      </c>
      <c r="E179">
        <v>136.4</v>
      </c>
      <c r="F179">
        <v>143.69999999999999</v>
      </c>
      <c r="G179">
        <v>144.80000000000001</v>
      </c>
      <c r="H179">
        <v>141.9</v>
      </c>
      <c r="I179">
        <v>123.1</v>
      </c>
      <c r="J179">
        <v>147.19999999999999</v>
      </c>
      <c r="K179">
        <v>161</v>
      </c>
      <c r="L179">
        <v>133.80000000000001</v>
      </c>
      <c r="M179">
        <v>121.9</v>
      </c>
      <c r="N179">
        <v>135.80000000000001</v>
      </c>
      <c r="O179">
        <v>131.1</v>
      </c>
      <c r="P179">
        <v>151.4</v>
      </c>
      <c r="Q179">
        <v>141.5</v>
      </c>
      <c r="R179">
        <v>153.19999999999999</v>
      </c>
      <c r="S179">
        <v>148</v>
      </c>
      <c r="T179">
        <v>141.9</v>
      </c>
      <c r="U179">
        <v>147.19999999999999</v>
      </c>
      <c r="V179" t="s">
        <v>26</v>
      </c>
      <c r="W179">
        <v>142.6</v>
      </c>
      <c r="X179">
        <v>139.5</v>
      </c>
      <c r="Y179">
        <v>136.1</v>
      </c>
      <c r="Z179">
        <v>122</v>
      </c>
      <c r="AA179">
        <v>133.4</v>
      </c>
      <c r="AB179">
        <v>141.1</v>
      </c>
      <c r="AC179">
        <v>127.8</v>
      </c>
      <c r="AD179">
        <v>131.9</v>
      </c>
      <c r="AE179">
        <v>139.80000000000001</v>
      </c>
    </row>
    <row r="180" spans="1:31" x14ac:dyDescent="0.25">
      <c r="A180" t="s">
        <v>11</v>
      </c>
      <c r="B180">
        <v>2017</v>
      </c>
      <c r="C180" t="s">
        <v>24</v>
      </c>
      <c r="D180" t="str">
        <f t="shared" si="2"/>
        <v>2017DecemberUrban</v>
      </c>
      <c r="E180">
        <v>134.4</v>
      </c>
      <c r="F180">
        <v>142.6</v>
      </c>
      <c r="G180">
        <v>145.9</v>
      </c>
      <c r="H180">
        <v>139.5</v>
      </c>
      <c r="I180">
        <v>115.9</v>
      </c>
      <c r="J180">
        <v>135</v>
      </c>
      <c r="K180">
        <v>163.19999999999999</v>
      </c>
      <c r="L180">
        <v>119.8</v>
      </c>
      <c r="M180">
        <v>120.7</v>
      </c>
      <c r="N180">
        <v>139.69999999999999</v>
      </c>
      <c r="O180">
        <v>125.7</v>
      </c>
      <c r="P180">
        <v>146.30000000000001</v>
      </c>
      <c r="Q180">
        <v>138.80000000000001</v>
      </c>
      <c r="R180">
        <v>157</v>
      </c>
      <c r="S180">
        <v>135.6</v>
      </c>
      <c r="T180">
        <v>125.6</v>
      </c>
      <c r="U180">
        <v>134</v>
      </c>
      <c r="V180">
        <v>139.1</v>
      </c>
      <c r="W180">
        <v>126.8</v>
      </c>
      <c r="X180">
        <v>129.30000000000001</v>
      </c>
      <c r="Y180">
        <v>128.19999999999999</v>
      </c>
      <c r="Z180">
        <v>115.3</v>
      </c>
      <c r="AA180">
        <v>125.6</v>
      </c>
      <c r="AB180">
        <v>136.69999999999999</v>
      </c>
      <c r="AC180">
        <v>124.6</v>
      </c>
      <c r="AD180">
        <v>125.1</v>
      </c>
      <c r="AE180">
        <v>134.1</v>
      </c>
    </row>
    <row r="181" spans="1:31" x14ac:dyDescent="0.25">
      <c r="A181" t="s">
        <v>12</v>
      </c>
      <c r="B181">
        <v>2017</v>
      </c>
      <c r="C181" t="s">
        <v>24</v>
      </c>
      <c r="D181" t="str">
        <f t="shared" si="2"/>
        <v>2017DecemberRural+Urban</v>
      </c>
      <c r="E181">
        <v>135.80000000000001</v>
      </c>
      <c r="F181">
        <v>143.30000000000001</v>
      </c>
      <c r="G181">
        <v>145.19999999999999</v>
      </c>
      <c r="H181">
        <v>141</v>
      </c>
      <c r="I181">
        <v>120.5</v>
      </c>
      <c r="J181">
        <v>141.5</v>
      </c>
      <c r="K181">
        <v>161.69999999999999</v>
      </c>
      <c r="L181">
        <v>129.1</v>
      </c>
      <c r="M181">
        <v>121.5</v>
      </c>
      <c r="N181">
        <v>137.1</v>
      </c>
      <c r="O181">
        <v>128.80000000000001</v>
      </c>
      <c r="P181">
        <v>149</v>
      </c>
      <c r="Q181">
        <v>140.5</v>
      </c>
      <c r="R181">
        <v>154.19999999999999</v>
      </c>
      <c r="S181">
        <v>143.1</v>
      </c>
      <c r="T181">
        <v>135.1</v>
      </c>
      <c r="U181">
        <v>142</v>
      </c>
      <c r="V181">
        <v>139.1</v>
      </c>
      <c r="W181">
        <v>136.6</v>
      </c>
      <c r="X181">
        <v>134.69999999999999</v>
      </c>
      <c r="Y181">
        <v>133.1</v>
      </c>
      <c r="Z181">
        <v>118.5</v>
      </c>
      <c r="AA181">
        <v>129</v>
      </c>
      <c r="AB181">
        <v>138.5</v>
      </c>
      <c r="AC181">
        <v>126.5</v>
      </c>
      <c r="AD181">
        <v>128.6</v>
      </c>
      <c r="AE181">
        <v>137.19999999999999</v>
      </c>
    </row>
    <row r="182" spans="1:31" x14ac:dyDescent="0.25">
      <c r="A182" t="s">
        <v>9</v>
      </c>
      <c r="B182">
        <v>2018</v>
      </c>
      <c r="C182" t="s">
        <v>10</v>
      </c>
      <c r="D182" t="str">
        <f t="shared" si="2"/>
        <v>2018JanuaryRural</v>
      </c>
      <c r="E182">
        <v>136.6</v>
      </c>
      <c r="F182">
        <v>144.4</v>
      </c>
      <c r="G182">
        <v>143.80000000000001</v>
      </c>
      <c r="H182">
        <v>142</v>
      </c>
      <c r="I182">
        <v>123.2</v>
      </c>
      <c r="J182">
        <v>147.9</v>
      </c>
      <c r="K182">
        <v>152.1</v>
      </c>
      <c r="L182">
        <v>131.80000000000001</v>
      </c>
      <c r="M182">
        <v>119.5</v>
      </c>
      <c r="N182">
        <v>136</v>
      </c>
      <c r="O182">
        <v>131.19999999999999</v>
      </c>
      <c r="P182">
        <v>151.80000000000001</v>
      </c>
      <c r="Q182">
        <v>140.4</v>
      </c>
      <c r="R182">
        <v>153.6</v>
      </c>
      <c r="S182">
        <v>148.30000000000001</v>
      </c>
      <c r="T182">
        <v>142.30000000000001</v>
      </c>
      <c r="U182">
        <v>147.5</v>
      </c>
      <c r="V182" t="s">
        <v>26</v>
      </c>
      <c r="W182">
        <v>142.30000000000001</v>
      </c>
      <c r="X182">
        <v>139.80000000000001</v>
      </c>
      <c r="Y182">
        <v>136</v>
      </c>
      <c r="Z182">
        <v>122.7</v>
      </c>
      <c r="AA182">
        <v>134.30000000000001</v>
      </c>
      <c r="AB182">
        <v>141.6</v>
      </c>
      <c r="AC182">
        <v>128.6</v>
      </c>
      <c r="AD182">
        <v>132.30000000000001</v>
      </c>
      <c r="AE182">
        <v>139.30000000000001</v>
      </c>
    </row>
    <row r="183" spans="1:31" x14ac:dyDescent="0.25">
      <c r="A183" t="s">
        <v>11</v>
      </c>
      <c r="B183">
        <v>2018</v>
      </c>
      <c r="C183" t="s">
        <v>10</v>
      </c>
      <c r="D183" t="str">
        <f t="shared" si="2"/>
        <v>2018JanuaryUrban</v>
      </c>
      <c r="E183">
        <v>134.6</v>
      </c>
      <c r="F183">
        <v>143.69999999999999</v>
      </c>
      <c r="G183">
        <v>143.6</v>
      </c>
      <c r="H183">
        <v>139.6</v>
      </c>
      <c r="I183">
        <v>116.4</v>
      </c>
      <c r="J183">
        <v>133.80000000000001</v>
      </c>
      <c r="K183">
        <v>150.5</v>
      </c>
      <c r="L183">
        <v>118.4</v>
      </c>
      <c r="M183">
        <v>117.3</v>
      </c>
      <c r="N183">
        <v>140.5</v>
      </c>
      <c r="O183">
        <v>125.9</v>
      </c>
      <c r="P183">
        <v>146.80000000000001</v>
      </c>
      <c r="Q183">
        <v>137.19999999999999</v>
      </c>
      <c r="R183">
        <v>157.69999999999999</v>
      </c>
      <c r="S183">
        <v>136</v>
      </c>
      <c r="T183">
        <v>125.9</v>
      </c>
      <c r="U183">
        <v>134.4</v>
      </c>
      <c r="V183">
        <v>140.4</v>
      </c>
      <c r="W183">
        <v>127.3</v>
      </c>
      <c r="X183">
        <v>129.5</v>
      </c>
      <c r="Y183">
        <v>129</v>
      </c>
      <c r="Z183">
        <v>116.3</v>
      </c>
      <c r="AA183">
        <v>126.2</v>
      </c>
      <c r="AB183">
        <v>137.1</v>
      </c>
      <c r="AC183">
        <v>125.5</v>
      </c>
      <c r="AD183">
        <v>125.8</v>
      </c>
      <c r="AE183">
        <v>134.1</v>
      </c>
    </row>
    <row r="184" spans="1:31" x14ac:dyDescent="0.25">
      <c r="A184" t="s">
        <v>12</v>
      </c>
      <c r="B184">
        <v>2018</v>
      </c>
      <c r="C184" t="s">
        <v>10</v>
      </c>
      <c r="D184" t="str">
        <f t="shared" si="2"/>
        <v>2018JanuaryRural+Urban</v>
      </c>
      <c r="E184">
        <v>136</v>
      </c>
      <c r="F184">
        <v>144.19999999999999</v>
      </c>
      <c r="G184">
        <v>143.69999999999999</v>
      </c>
      <c r="H184">
        <v>141.1</v>
      </c>
      <c r="I184">
        <v>120.7</v>
      </c>
      <c r="J184">
        <v>141.30000000000001</v>
      </c>
      <c r="K184">
        <v>151.6</v>
      </c>
      <c r="L184">
        <v>127.3</v>
      </c>
      <c r="M184">
        <v>118.8</v>
      </c>
      <c r="N184">
        <v>137.5</v>
      </c>
      <c r="O184">
        <v>129</v>
      </c>
      <c r="P184">
        <v>149.5</v>
      </c>
      <c r="Q184">
        <v>139.19999999999999</v>
      </c>
      <c r="R184">
        <v>154.69999999999999</v>
      </c>
      <c r="S184">
        <v>143.5</v>
      </c>
      <c r="T184">
        <v>135.5</v>
      </c>
      <c r="U184">
        <v>142.30000000000001</v>
      </c>
      <c r="V184">
        <v>140.4</v>
      </c>
      <c r="W184">
        <v>136.6</v>
      </c>
      <c r="X184">
        <v>134.9</v>
      </c>
      <c r="Y184">
        <v>133.30000000000001</v>
      </c>
      <c r="Z184">
        <v>119.3</v>
      </c>
      <c r="AA184">
        <v>129.69999999999999</v>
      </c>
      <c r="AB184">
        <v>139</v>
      </c>
      <c r="AC184">
        <v>127.3</v>
      </c>
      <c r="AD184">
        <v>129.1</v>
      </c>
      <c r="AE184">
        <v>136.9</v>
      </c>
    </row>
    <row r="185" spans="1:31" x14ac:dyDescent="0.25">
      <c r="A185" t="s">
        <v>9</v>
      </c>
      <c r="B185">
        <v>2018</v>
      </c>
      <c r="C185" t="s">
        <v>13</v>
      </c>
      <c r="D185" t="str">
        <f t="shared" si="2"/>
        <v>2018FebruaryRural</v>
      </c>
      <c r="E185">
        <v>136.4</v>
      </c>
      <c r="F185">
        <v>143.69999999999999</v>
      </c>
      <c r="G185">
        <v>140.6</v>
      </c>
      <c r="H185">
        <v>141.5</v>
      </c>
      <c r="I185">
        <v>122.9</v>
      </c>
      <c r="J185">
        <v>149.4</v>
      </c>
      <c r="K185">
        <v>142.4</v>
      </c>
      <c r="L185">
        <v>130.19999999999999</v>
      </c>
      <c r="M185">
        <v>117.9</v>
      </c>
      <c r="N185">
        <v>135.6</v>
      </c>
      <c r="O185">
        <v>130.5</v>
      </c>
      <c r="P185">
        <v>151.69999999999999</v>
      </c>
      <c r="Q185">
        <v>138.69999999999999</v>
      </c>
      <c r="R185">
        <v>153.30000000000001</v>
      </c>
      <c r="S185">
        <v>148.69999999999999</v>
      </c>
      <c r="T185">
        <v>142.4</v>
      </c>
      <c r="U185">
        <v>147.80000000000001</v>
      </c>
      <c r="V185" t="s">
        <v>26</v>
      </c>
      <c r="W185">
        <v>142.4</v>
      </c>
      <c r="X185">
        <v>139.9</v>
      </c>
      <c r="Y185">
        <v>136.19999999999999</v>
      </c>
      <c r="Z185">
        <v>123.3</v>
      </c>
      <c r="AA185">
        <v>134.30000000000001</v>
      </c>
      <c r="AB185">
        <v>141.5</v>
      </c>
      <c r="AC185">
        <v>128.80000000000001</v>
      </c>
      <c r="AD185">
        <v>132.5</v>
      </c>
      <c r="AE185">
        <v>138.5</v>
      </c>
    </row>
    <row r="186" spans="1:31" x14ac:dyDescent="0.25">
      <c r="A186" t="s">
        <v>11</v>
      </c>
      <c r="B186">
        <v>2018</v>
      </c>
      <c r="C186" t="s">
        <v>13</v>
      </c>
      <c r="D186" t="str">
        <f t="shared" si="2"/>
        <v>2018FebruaryUrban</v>
      </c>
      <c r="E186">
        <v>134.80000000000001</v>
      </c>
      <c r="F186">
        <v>143</v>
      </c>
      <c r="G186">
        <v>139.9</v>
      </c>
      <c r="H186">
        <v>139.9</v>
      </c>
      <c r="I186">
        <v>116.2</v>
      </c>
      <c r="J186">
        <v>135.5</v>
      </c>
      <c r="K186">
        <v>136.9</v>
      </c>
      <c r="L186">
        <v>117</v>
      </c>
      <c r="M186">
        <v>115.4</v>
      </c>
      <c r="N186">
        <v>140.69999999999999</v>
      </c>
      <c r="O186">
        <v>125.9</v>
      </c>
      <c r="P186">
        <v>147.1</v>
      </c>
      <c r="Q186">
        <v>135.6</v>
      </c>
      <c r="R186">
        <v>159.30000000000001</v>
      </c>
      <c r="S186">
        <v>136.30000000000001</v>
      </c>
      <c r="T186">
        <v>126.1</v>
      </c>
      <c r="U186">
        <v>134.69999999999999</v>
      </c>
      <c r="V186">
        <v>141.30000000000001</v>
      </c>
      <c r="W186">
        <v>127.3</v>
      </c>
      <c r="X186">
        <v>129.9</v>
      </c>
      <c r="Y186">
        <v>129.80000000000001</v>
      </c>
      <c r="Z186">
        <v>117.4</v>
      </c>
      <c r="AA186">
        <v>126.5</v>
      </c>
      <c r="AB186">
        <v>137.19999999999999</v>
      </c>
      <c r="AC186">
        <v>126.2</v>
      </c>
      <c r="AD186">
        <v>126.5</v>
      </c>
      <c r="AE186">
        <v>134</v>
      </c>
    </row>
    <row r="187" spans="1:31" x14ac:dyDescent="0.25">
      <c r="A187" t="s">
        <v>12</v>
      </c>
      <c r="B187">
        <v>2018</v>
      </c>
      <c r="C187" t="s">
        <v>13</v>
      </c>
      <c r="D187" t="str">
        <f t="shared" si="2"/>
        <v>2018FebruaryRural+Urban</v>
      </c>
      <c r="E187">
        <v>135.9</v>
      </c>
      <c r="F187">
        <v>143.5</v>
      </c>
      <c r="G187">
        <v>140.30000000000001</v>
      </c>
      <c r="H187">
        <v>140.9</v>
      </c>
      <c r="I187">
        <v>120.4</v>
      </c>
      <c r="J187">
        <v>142.9</v>
      </c>
      <c r="K187">
        <v>140.5</v>
      </c>
      <c r="L187">
        <v>125.8</v>
      </c>
      <c r="M187">
        <v>117.1</v>
      </c>
      <c r="N187">
        <v>137.30000000000001</v>
      </c>
      <c r="O187">
        <v>128.6</v>
      </c>
      <c r="P187">
        <v>149.6</v>
      </c>
      <c r="Q187">
        <v>137.6</v>
      </c>
      <c r="R187">
        <v>154.9</v>
      </c>
      <c r="S187">
        <v>143.80000000000001</v>
      </c>
      <c r="T187">
        <v>135.6</v>
      </c>
      <c r="U187">
        <v>142.6</v>
      </c>
      <c r="V187">
        <v>141.30000000000001</v>
      </c>
      <c r="W187">
        <v>136.69999999999999</v>
      </c>
      <c r="X187">
        <v>135.19999999999999</v>
      </c>
      <c r="Y187">
        <v>133.80000000000001</v>
      </c>
      <c r="Z187">
        <v>120.2</v>
      </c>
      <c r="AA187">
        <v>129.9</v>
      </c>
      <c r="AB187">
        <v>139</v>
      </c>
      <c r="AC187">
        <v>127.7</v>
      </c>
      <c r="AD187">
        <v>129.6</v>
      </c>
      <c r="AE187">
        <v>136.4</v>
      </c>
    </row>
    <row r="188" spans="1:31" x14ac:dyDescent="0.25">
      <c r="A188" t="s">
        <v>9</v>
      </c>
      <c r="B188">
        <v>2018</v>
      </c>
      <c r="C188" t="s">
        <v>15</v>
      </c>
      <c r="D188" t="str">
        <f t="shared" si="2"/>
        <v>2018MarchRural</v>
      </c>
      <c r="E188">
        <v>136.80000000000001</v>
      </c>
      <c r="F188">
        <v>143.80000000000001</v>
      </c>
      <c r="G188">
        <v>140</v>
      </c>
      <c r="H188">
        <v>142</v>
      </c>
      <c r="I188">
        <v>123.2</v>
      </c>
      <c r="J188">
        <v>152.9</v>
      </c>
      <c r="K188">
        <v>138</v>
      </c>
      <c r="L188">
        <v>129.30000000000001</v>
      </c>
      <c r="M188">
        <v>117.1</v>
      </c>
      <c r="N188">
        <v>136.30000000000001</v>
      </c>
      <c r="O188">
        <v>131.19999999999999</v>
      </c>
      <c r="P188">
        <v>152.80000000000001</v>
      </c>
      <c r="Q188">
        <v>138.6</v>
      </c>
      <c r="R188">
        <v>155.1</v>
      </c>
      <c r="S188">
        <v>149.19999999999999</v>
      </c>
      <c r="T188">
        <v>143</v>
      </c>
      <c r="U188">
        <v>148.30000000000001</v>
      </c>
      <c r="V188" t="s">
        <v>26</v>
      </c>
      <c r="W188">
        <v>142.6</v>
      </c>
      <c r="X188">
        <v>139.9</v>
      </c>
      <c r="Y188">
        <v>136.69999999999999</v>
      </c>
      <c r="Z188">
        <v>124.6</v>
      </c>
      <c r="AA188">
        <v>135.1</v>
      </c>
      <c r="AB188">
        <v>142.69999999999999</v>
      </c>
      <c r="AC188">
        <v>129.30000000000001</v>
      </c>
      <c r="AD188">
        <v>133.30000000000001</v>
      </c>
      <c r="AE188">
        <v>138.69999999999999</v>
      </c>
    </row>
    <row r="189" spans="1:31" x14ac:dyDescent="0.25">
      <c r="A189" t="s">
        <v>11</v>
      </c>
      <c r="B189">
        <v>2018</v>
      </c>
      <c r="C189" t="s">
        <v>15</v>
      </c>
      <c r="D189" t="str">
        <f t="shared" si="2"/>
        <v>2018MarchUrban</v>
      </c>
      <c r="E189">
        <v>135</v>
      </c>
      <c r="F189">
        <v>143.1</v>
      </c>
      <c r="G189">
        <v>135.5</v>
      </c>
      <c r="H189">
        <v>139.9</v>
      </c>
      <c r="I189">
        <v>116.5</v>
      </c>
      <c r="J189">
        <v>138.5</v>
      </c>
      <c r="K189">
        <v>128</v>
      </c>
      <c r="L189">
        <v>115.5</v>
      </c>
      <c r="M189">
        <v>114.2</v>
      </c>
      <c r="N189">
        <v>140.69999999999999</v>
      </c>
      <c r="O189">
        <v>126.2</v>
      </c>
      <c r="P189">
        <v>147.6</v>
      </c>
      <c r="Q189">
        <v>134.80000000000001</v>
      </c>
      <c r="R189">
        <v>159.69999999999999</v>
      </c>
      <c r="S189">
        <v>136.69999999999999</v>
      </c>
      <c r="T189">
        <v>126.7</v>
      </c>
      <c r="U189">
        <v>135.19999999999999</v>
      </c>
      <c r="V189">
        <v>142</v>
      </c>
      <c r="W189">
        <v>126.4</v>
      </c>
      <c r="X189">
        <v>130.80000000000001</v>
      </c>
      <c r="Y189">
        <v>130.5</v>
      </c>
      <c r="Z189">
        <v>117.8</v>
      </c>
      <c r="AA189">
        <v>126.8</v>
      </c>
      <c r="AB189">
        <v>137.80000000000001</v>
      </c>
      <c r="AC189">
        <v>126.7</v>
      </c>
      <c r="AD189">
        <v>127.1</v>
      </c>
      <c r="AE189">
        <v>134</v>
      </c>
    </row>
    <row r="190" spans="1:31" x14ac:dyDescent="0.25">
      <c r="A190" t="s">
        <v>12</v>
      </c>
      <c r="B190">
        <v>2018</v>
      </c>
      <c r="C190" t="s">
        <v>15</v>
      </c>
      <c r="D190" t="str">
        <f t="shared" si="2"/>
        <v>2018MarchRural+Urban</v>
      </c>
      <c r="E190">
        <v>136.19999999999999</v>
      </c>
      <c r="F190">
        <v>143.6</v>
      </c>
      <c r="G190">
        <v>138.30000000000001</v>
      </c>
      <c r="H190">
        <v>141.19999999999999</v>
      </c>
      <c r="I190">
        <v>120.7</v>
      </c>
      <c r="J190">
        <v>146.19999999999999</v>
      </c>
      <c r="K190">
        <v>134.6</v>
      </c>
      <c r="L190">
        <v>124.6</v>
      </c>
      <c r="M190">
        <v>116.1</v>
      </c>
      <c r="N190">
        <v>137.80000000000001</v>
      </c>
      <c r="O190">
        <v>129.1</v>
      </c>
      <c r="P190">
        <v>150.4</v>
      </c>
      <c r="Q190">
        <v>137.19999999999999</v>
      </c>
      <c r="R190">
        <v>156.30000000000001</v>
      </c>
      <c r="S190">
        <v>144.30000000000001</v>
      </c>
      <c r="T190">
        <v>136.19999999999999</v>
      </c>
      <c r="U190">
        <v>143.1</v>
      </c>
      <c r="V190">
        <v>142</v>
      </c>
      <c r="W190">
        <v>136.5</v>
      </c>
      <c r="X190">
        <v>135.6</v>
      </c>
      <c r="Y190">
        <v>134.30000000000001</v>
      </c>
      <c r="Z190">
        <v>121</v>
      </c>
      <c r="AA190">
        <v>130.4</v>
      </c>
      <c r="AB190">
        <v>139.80000000000001</v>
      </c>
      <c r="AC190">
        <v>128.19999999999999</v>
      </c>
      <c r="AD190">
        <v>130.30000000000001</v>
      </c>
      <c r="AE190">
        <v>136.5</v>
      </c>
    </row>
    <row r="191" spans="1:31" x14ac:dyDescent="0.25">
      <c r="A191" t="s">
        <v>9</v>
      </c>
      <c r="B191">
        <v>2018</v>
      </c>
      <c r="C191" t="s">
        <v>16</v>
      </c>
      <c r="D191" t="str">
        <f t="shared" si="2"/>
        <v>2018AprilRural</v>
      </c>
      <c r="E191">
        <v>137.1</v>
      </c>
      <c r="F191">
        <v>144.5</v>
      </c>
      <c r="G191">
        <v>135.9</v>
      </c>
      <c r="H191">
        <v>142.4</v>
      </c>
      <c r="I191">
        <v>123.5</v>
      </c>
      <c r="J191">
        <v>156.4</v>
      </c>
      <c r="K191">
        <v>135.1</v>
      </c>
      <c r="L191">
        <v>128.4</v>
      </c>
      <c r="M191">
        <v>115.2</v>
      </c>
      <c r="N191">
        <v>137.19999999999999</v>
      </c>
      <c r="O191">
        <v>131.9</v>
      </c>
      <c r="P191">
        <v>153.80000000000001</v>
      </c>
      <c r="Q191">
        <v>138.6</v>
      </c>
      <c r="R191">
        <v>156.1</v>
      </c>
      <c r="S191">
        <v>150.1</v>
      </c>
      <c r="T191">
        <v>143.30000000000001</v>
      </c>
      <c r="U191">
        <v>149.1</v>
      </c>
      <c r="V191" t="s">
        <v>26</v>
      </c>
      <c r="W191">
        <v>143.80000000000001</v>
      </c>
      <c r="X191">
        <v>140.9</v>
      </c>
      <c r="Y191">
        <v>137.6</v>
      </c>
      <c r="Z191">
        <v>125.3</v>
      </c>
      <c r="AA191">
        <v>136</v>
      </c>
      <c r="AB191">
        <v>143.69999999999999</v>
      </c>
      <c r="AC191">
        <v>130.4</v>
      </c>
      <c r="AD191">
        <v>134.19999999999999</v>
      </c>
      <c r="AE191">
        <v>139.1</v>
      </c>
    </row>
    <row r="192" spans="1:31" x14ac:dyDescent="0.25">
      <c r="A192" t="s">
        <v>11</v>
      </c>
      <c r="B192">
        <v>2018</v>
      </c>
      <c r="C192" t="s">
        <v>16</v>
      </c>
      <c r="D192" t="str">
        <f t="shared" si="2"/>
        <v>2018AprilUrban</v>
      </c>
      <c r="E192">
        <v>135</v>
      </c>
      <c r="F192">
        <v>144.30000000000001</v>
      </c>
      <c r="G192">
        <v>130.80000000000001</v>
      </c>
      <c r="H192">
        <v>140.30000000000001</v>
      </c>
      <c r="I192">
        <v>116.6</v>
      </c>
      <c r="J192">
        <v>150.1</v>
      </c>
      <c r="K192">
        <v>127.6</v>
      </c>
      <c r="L192">
        <v>114</v>
      </c>
      <c r="M192">
        <v>110.6</v>
      </c>
      <c r="N192">
        <v>140.19999999999999</v>
      </c>
      <c r="O192">
        <v>126.5</v>
      </c>
      <c r="P192">
        <v>148.30000000000001</v>
      </c>
      <c r="Q192">
        <v>135.69999999999999</v>
      </c>
      <c r="R192">
        <v>159.19999999999999</v>
      </c>
      <c r="S192">
        <v>137.80000000000001</v>
      </c>
      <c r="T192">
        <v>127.4</v>
      </c>
      <c r="U192">
        <v>136.19999999999999</v>
      </c>
      <c r="V192">
        <v>142.9</v>
      </c>
      <c r="W192">
        <v>124.6</v>
      </c>
      <c r="X192">
        <v>131.80000000000001</v>
      </c>
      <c r="Y192">
        <v>131.30000000000001</v>
      </c>
      <c r="Z192">
        <v>118.9</v>
      </c>
      <c r="AA192">
        <v>127.6</v>
      </c>
      <c r="AB192">
        <v>139.69999999999999</v>
      </c>
      <c r="AC192">
        <v>127.6</v>
      </c>
      <c r="AD192">
        <v>128.19999999999999</v>
      </c>
      <c r="AE192">
        <v>134.80000000000001</v>
      </c>
    </row>
    <row r="193" spans="1:31" x14ac:dyDescent="0.25">
      <c r="A193" t="s">
        <v>12</v>
      </c>
      <c r="B193">
        <v>2018</v>
      </c>
      <c r="C193" t="s">
        <v>16</v>
      </c>
      <c r="D193" t="str">
        <f t="shared" si="2"/>
        <v>2018AprilRural+Urban</v>
      </c>
      <c r="E193">
        <v>136.4</v>
      </c>
      <c r="F193">
        <v>144.4</v>
      </c>
      <c r="G193">
        <v>133.9</v>
      </c>
      <c r="H193">
        <v>141.6</v>
      </c>
      <c r="I193">
        <v>121</v>
      </c>
      <c r="J193">
        <v>153.5</v>
      </c>
      <c r="K193">
        <v>132.6</v>
      </c>
      <c r="L193">
        <v>123.5</v>
      </c>
      <c r="M193">
        <v>113.7</v>
      </c>
      <c r="N193">
        <v>138.19999999999999</v>
      </c>
      <c r="O193">
        <v>129.6</v>
      </c>
      <c r="P193">
        <v>151.19999999999999</v>
      </c>
      <c r="Q193">
        <v>137.5</v>
      </c>
      <c r="R193">
        <v>156.9</v>
      </c>
      <c r="S193">
        <v>145.30000000000001</v>
      </c>
      <c r="T193">
        <v>136.69999999999999</v>
      </c>
      <c r="U193">
        <v>144</v>
      </c>
      <c r="V193">
        <v>142.9</v>
      </c>
      <c r="W193">
        <v>136.5</v>
      </c>
      <c r="X193">
        <v>136.6</v>
      </c>
      <c r="Y193">
        <v>135.19999999999999</v>
      </c>
      <c r="Z193">
        <v>121.9</v>
      </c>
      <c r="AA193">
        <v>131.30000000000001</v>
      </c>
      <c r="AB193">
        <v>141.4</v>
      </c>
      <c r="AC193">
        <v>129.19999999999999</v>
      </c>
      <c r="AD193">
        <v>131.30000000000001</v>
      </c>
      <c r="AE193">
        <v>137.1</v>
      </c>
    </row>
    <row r="194" spans="1:31" x14ac:dyDescent="0.25">
      <c r="A194" t="s">
        <v>9</v>
      </c>
      <c r="B194">
        <v>2018</v>
      </c>
      <c r="C194" t="s">
        <v>14</v>
      </c>
      <c r="D194" t="str">
        <f t="shared" si="2"/>
        <v>2018MayRural</v>
      </c>
      <c r="E194">
        <v>137.4</v>
      </c>
      <c r="F194">
        <v>145.69999999999999</v>
      </c>
      <c r="G194">
        <v>135.5</v>
      </c>
      <c r="H194">
        <v>142.9</v>
      </c>
      <c r="I194">
        <v>123.6</v>
      </c>
      <c r="J194">
        <v>157.5</v>
      </c>
      <c r="K194">
        <v>137.80000000000001</v>
      </c>
      <c r="L194">
        <v>127.2</v>
      </c>
      <c r="M194">
        <v>111.8</v>
      </c>
      <c r="N194">
        <v>137.4</v>
      </c>
      <c r="O194">
        <v>132.19999999999999</v>
      </c>
      <c r="P194">
        <v>154.30000000000001</v>
      </c>
      <c r="Q194">
        <v>139.1</v>
      </c>
      <c r="R194">
        <v>157</v>
      </c>
      <c r="S194">
        <v>150.80000000000001</v>
      </c>
      <c r="T194">
        <v>144.1</v>
      </c>
      <c r="U194">
        <v>149.80000000000001</v>
      </c>
      <c r="V194" t="s">
        <v>26</v>
      </c>
      <c r="W194">
        <v>144.30000000000001</v>
      </c>
      <c r="X194">
        <v>141.80000000000001</v>
      </c>
      <c r="Y194">
        <v>138.4</v>
      </c>
      <c r="Z194">
        <v>126.4</v>
      </c>
      <c r="AA194">
        <v>136.80000000000001</v>
      </c>
      <c r="AB194">
        <v>144.4</v>
      </c>
      <c r="AC194">
        <v>131.19999999999999</v>
      </c>
      <c r="AD194">
        <v>135.1</v>
      </c>
      <c r="AE194">
        <v>139.80000000000001</v>
      </c>
    </row>
    <row r="195" spans="1:31" x14ac:dyDescent="0.25">
      <c r="A195" t="s">
        <v>11</v>
      </c>
      <c r="B195">
        <v>2018</v>
      </c>
      <c r="C195" t="s">
        <v>14</v>
      </c>
      <c r="D195" t="str">
        <f t="shared" ref="D195:D258" si="3">B195&amp;C195&amp;A195</f>
        <v>2018MayUrban</v>
      </c>
      <c r="E195">
        <v>135</v>
      </c>
      <c r="F195">
        <v>148.19999999999999</v>
      </c>
      <c r="G195">
        <v>130.5</v>
      </c>
      <c r="H195">
        <v>140.69999999999999</v>
      </c>
      <c r="I195">
        <v>116.4</v>
      </c>
      <c r="J195">
        <v>151.30000000000001</v>
      </c>
      <c r="K195">
        <v>131.4</v>
      </c>
      <c r="L195">
        <v>112.8</v>
      </c>
      <c r="M195">
        <v>105.3</v>
      </c>
      <c r="N195">
        <v>139.6</v>
      </c>
      <c r="O195">
        <v>126.6</v>
      </c>
      <c r="P195">
        <v>148.69999999999999</v>
      </c>
      <c r="Q195">
        <v>136.4</v>
      </c>
      <c r="R195">
        <v>160.30000000000001</v>
      </c>
      <c r="S195">
        <v>138.6</v>
      </c>
      <c r="T195">
        <v>127.9</v>
      </c>
      <c r="U195">
        <v>137</v>
      </c>
      <c r="V195">
        <v>143.19999999999999</v>
      </c>
      <c r="W195">
        <v>124.7</v>
      </c>
      <c r="X195">
        <v>132.5</v>
      </c>
      <c r="Y195">
        <v>132</v>
      </c>
      <c r="Z195">
        <v>119.8</v>
      </c>
      <c r="AA195">
        <v>128</v>
      </c>
      <c r="AB195">
        <v>140.4</v>
      </c>
      <c r="AC195">
        <v>128.1</v>
      </c>
      <c r="AD195">
        <v>128.9</v>
      </c>
      <c r="AE195">
        <v>135.4</v>
      </c>
    </row>
    <row r="196" spans="1:31" x14ac:dyDescent="0.25">
      <c r="A196" t="s">
        <v>12</v>
      </c>
      <c r="B196">
        <v>2018</v>
      </c>
      <c r="C196" t="s">
        <v>14</v>
      </c>
      <c r="D196" t="str">
        <f t="shared" si="3"/>
        <v>2018MayRural+Urban</v>
      </c>
      <c r="E196">
        <v>136.6</v>
      </c>
      <c r="F196">
        <v>146.6</v>
      </c>
      <c r="G196">
        <v>133.6</v>
      </c>
      <c r="H196">
        <v>142.1</v>
      </c>
      <c r="I196">
        <v>121</v>
      </c>
      <c r="J196">
        <v>154.6</v>
      </c>
      <c r="K196">
        <v>135.6</v>
      </c>
      <c r="L196">
        <v>122.3</v>
      </c>
      <c r="M196">
        <v>109.6</v>
      </c>
      <c r="N196">
        <v>138.1</v>
      </c>
      <c r="O196">
        <v>129.9</v>
      </c>
      <c r="P196">
        <v>151.69999999999999</v>
      </c>
      <c r="Q196">
        <v>138.1</v>
      </c>
      <c r="R196">
        <v>157.9</v>
      </c>
      <c r="S196">
        <v>146</v>
      </c>
      <c r="T196">
        <v>137.4</v>
      </c>
      <c r="U196">
        <v>144.69999999999999</v>
      </c>
      <c r="V196">
        <v>143.19999999999999</v>
      </c>
      <c r="W196">
        <v>136.9</v>
      </c>
      <c r="X196">
        <v>137.4</v>
      </c>
      <c r="Y196">
        <v>136</v>
      </c>
      <c r="Z196">
        <v>122.9</v>
      </c>
      <c r="AA196">
        <v>131.80000000000001</v>
      </c>
      <c r="AB196">
        <v>142.1</v>
      </c>
      <c r="AC196">
        <v>129.9</v>
      </c>
      <c r="AD196">
        <v>132.1</v>
      </c>
      <c r="AE196">
        <v>137.80000000000001</v>
      </c>
    </row>
    <row r="197" spans="1:31" x14ac:dyDescent="0.25">
      <c r="A197" t="s">
        <v>9</v>
      </c>
      <c r="B197">
        <v>2018</v>
      </c>
      <c r="C197" t="s">
        <v>17</v>
      </c>
      <c r="D197" t="str">
        <f t="shared" si="3"/>
        <v>2018JuneRural</v>
      </c>
      <c r="E197">
        <v>137.6</v>
      </c>
      <c r="F197">
        <v>148.1</v>
      </c>
      <c r="G197">
        <v>136.69999999999999</v>
      </c>
      <c r="H197">
        <v>143.19999999999999</v>
      </c>
      <c r="I197">
        <v>124</v>
      </c>
      <c r="J197">
        <v>154.1</v>
      </c>
      <c r="K197">
        <v>143.5</v>
      </c>
      <c r="L197">
        <v>126</v>
      </c>
      <c r="M197">
        <v>112.4</v>
      </c>
      <c r="N197">
        <v>137.6</v>
      </c>
      <c r="O197">
        <v>132.80000000000001</v>
      </c>
      <c r="P197">
        <v>154.30000000000001</v>
      </c>
      <c r="Q197">
        <v>140</v>
      </c>
      <c r="R197">
        <v>157.30000000000001</v>
      </c>
      <c r="S197">
        <v>151.30000000000001</v>
      </c>
      <c r="T197">
        <v>144.69999999999999</v>
      </c>
      <c r="U197">
        <v>150.30000000000001</v>
      </c>
      <c r="V197" t="s">
        <v>26</v>
      </c>
      <c r="W197">
        <v>145.1</v>
      </c>
      <c r="X197">
        <v>142.19999999999999</v>
      </c>
      <c r="Y197">
        <v>138.4</v>
      </c>
      <c r="Z197">
        <v>127.4</v>
      </c>
      <c r="AA197">
        <v>137.80000000000001</v>
      </c>
      <c r="AB197">
        <v>145.1</v>
      </c>
      <c r="AC197">
        <v>131.4</v>
      </c>
      <c r="AD197">
        <v>135.6</v>
      </c>
      <c r="AE197">
        <v>140.5</v>
      </c>
    </row>
    <row r="198" spans="1:31" x14ac:dyDescent="0.25">
      <c r="A198" t="s">
        <v>11</v>
      </c>
      <c r="B198">
        <v>2018</v>
      </c>
      <c r="C198" t="s">
        <v>17</v>
      </c>
      <c r="D198" t="str">
        <f t="shared" si="3"/>
        <v>2018JuneUrban</v>
      </c>
      <c r="E198">
        <v>135.30000000000001</v>
      </c>
      <c r="F198">
        <v>149.69999999999999</v>
      </c>
      <c r="G198">
        <v>133.9</v>
      </c>
      <c r="H198">
        <v>140.80000000000001</v>
      </c>
      <c r="I198">
        <v>116.6</v>
      </c>
      <c r="J198">
        <v>152.19999999999999</v>
      </c>
      <c r="K198">
        <v>144</v>
      </c>
      <c r="L198">
        <v>112.3</v>
      </c>
      <c r="M198">
        <v>108.4</v>
      </c>
      <c r="N198">
        <v>140</v>
      </c>
      <c r="O198">
        <v>126.7</v>
      </c>
      <c r="P198">
        <v>149</v>
      </c>
      <c r="Q198">
        <v>138.4</v>
      </c>
      <c r="R198">
        <v>161</v>
      </c>
      <c r="S198">
        <v>138.9</v>
      </c>
      <c r="T198">
        <v>128.69999999999999</v>
      </c>
      <c r="U198">
        <v>137.4</v>
      </c>
      <c r="V198">
        <v>142.5</v>
      </c>
      <c r="W198">
        <v>126.5</v>
      </c>
      <c r="X198">
        <v>133.1</v>
      </c>
      <c r="Y198">
        <v>132.6</v>
      </c>
      <c r="Z198">
        <v>120.4</v>
      </c>
      <c r="AA198">
        <v>128.5</v>
      </c>
      <c r="AB198">
        <v>141.19999999999999</v>
      </c>
      <c r="AC198">
        <v>128.19999999999999</v>
      </c>
      <c r="AD198">
        <v>129.5</v>
      </c>
      <c r="AE198">
        <v>136.19999999999999</v>
      </c>
    </row>
    <row r="199" spans="1:31" x14ac:dyDescent="0.25">
      <c r="A199" t="s">
        <v>12</v>
      </c>
      <c r="B199">
        <v>2018</v>
      </c>
      <c r="C199" t="s">
        <v>17</v>
      </c>
      <c r="D199" t="str">
        <f t="shared" si="3"/>
        <v>2018JuneRural+Urban</v>
      </c>
      <c r="E199">
        <v>136.9</v>
      </c>
      <c r="F199">
        <v>148.69999999999999</v>
      </c>
      <c r="G199">
        <v>135.6</v>
      </c>
      <c r="H199">
        <v>142.30000000000001</v>
      </c>
      <c r="I199">
        <v>121.3</v>
      </c>
      <c r="J199">
        <v>153.19999999999999</v>
      </c>
      <c r="K199">
        <v>143.69999999999999</v>
      </c>
      <c r="L199">
        <v>121.4</v>
      </c>
      <c r="M199">
        <v>111.1</v>
      </c>
      <c r="N199">
        <v>138.4</v>
      </c>
      <c r="O199">
        <v>130.30000000000001</v>
      </c>
      <c r="P199">
        <v>151.80000000000001</v>
      </c>
      <c r="Q199">
        <v>139.4</v>
      </c>
      <c r="R199">
        <v>158.30000000000001</v>
      </c>
      <c r="S199">
        <v>146.4</v>
      </c>
      <c r="T199">
        <v>138.1</v>
      </c>
      <c r="U199">
        <v>145.19999999999999</v>
      </c>
      <c r="V199">
        <v>142.5</v>
      </c>
      <c r="W199">
        <v>138.1</v>
      </c>
      <c r="X199">
        <v>137.9</v>
      </c>
      <c r="Y199">
        <v>136.19999999999999</v>
      </c>
      <c r="Z199">
        <v>123.7</v>
      </c>
      <c r="AA199">
        <v>132.6</v>
      </c>
      <c r="AB199">
        <v>142.80000000000001</v>
      </c>
      <c r="AC199">
        <v>130.1</v>
      </c>
      <c r="AD199">
        <v>132.6</v>
      </c>
      <c r="AE199">
        <v>138.5</v>
      </c>
    </row>
    <row r="200" spans="1:31" x14ac:dyDescent="0.25">
      <c r="A200" t="s">
        <v>9</v>
      </c>
      <c r="B200">
        <v>2018</v>
      </c>
      <c r="C200" t="s">
        <v>18</v>
      </c>
      <c r="D200" t="str">
        <f t="shared" si="3"/>
        <v>2018JulyRural</v>
      </c>
      <c r="E200">
        <v>138.4</v>
      </c>
      <c r="F200">
        <v>149.30000000000001</v>
      </c>
      <c r="G200">
        <v>139.30000000000001</v>
      </c>
      <c r="H200">
        <v>143.4</v>
      </c>
      <c r="I200">
        <v>124.1</v>
      </c>
      <c r="J200">
        <v>153.30000000000001</v>
      </c>
      <c r="K200">
        <v>154.19999999999999</v>
      </c>
      <c r="L200">
        <v>126.4</v>
      </c>
      <c r="M200">
        <v>114.3</v>
      </c>
      <c r="N200">
        <v>138.19999999999999</v>
      </c>
      <c r="O200">
        <v>132.80000000000001</v>
      </c>
      <c r="P200">
        <v>154.80000000000001</v>
      </c>
      <c r="Q200">
        <v>142</v>
      </c>
      <c r="R200">
        <v>156.1</v>
      </c>
      <c r="S200">
        <v>151.5</v>
      </c>
      <c r="T200">
        <v>145.1</v>
      </c>
      <c r="U200">
        <v>150.6</v>
      </c>
      <c r="V200" t="s">
        <v>26</v>
      </c>
      <c r="W200">
        <v>146.80000000000001</v>
      </c>
      <c r="X200">
        <v>143.1</v>
      </c>
      <c r="Y200">
        <v>139</v>
      </c>
      <c r="Z200">
        <v>127.5</v>
      </c>
      <c r="AA200">
        <v>138.4</v>
      </c>
      <c r="AB200">
        <v>145.80000000000001</v>
      </c>
      <c r="AC200">
        <v>131.4</v>
      </c>
      <c r="AD200">
        <v>136</v>
      </c>
      <c r="AE200">
        <v>141.80000000000001</v>
      </c>
    </row>
    <row r="201" spans="1:31" x14ac:dyDescent="0.25">
      <c r="A201" t="s">
        <v>11</v>
      </c>
      <c r="B201">
        <v>2018</v>
      </c>
      <c r="C201" t="s">
        <v>18</v>
      </c>
      <c r="D201" t="str">
        <f t="shared" si="3"/>
        <v>2018JulyUrban</v>
      </c>
      <c r="E201">
        <v>135.6</v>
      </c>
      <c r="F201">
        <v>148.6</v>
      </c>
      <c r="G201">
        <v>139.1</v>
      </c>
      <c r="H201">
        <v>141</v>
      </c>
      <c r="I201">
        <v>116.7</v>
      </c>
      <c r="J201">
        <v>149.69999999999999</v>
      </c>
      <c r="K201">
        <v>159.19999999999999</v>
      </c>
      <c r="L201">
        <v>112.6</v>
      </c>
      <c r="M201">
        <v>111.8</v>
      </c>
      <c r="N201">
        <v>140.30000000000001</v>
      </c>
      <c r="O201">
        <v>126.8</v>
      </c>
      <c r="P201">
        <v>149.4</v>
      </c>
      <c r="Q201">
        <v>140.30000000000001</v>
      </c>
      <c r="R201">
        <v>161.4</v>
      </c>
      <c r="S201">
        <v>139.6</v>
      </c>
      <c r="T201">
        <v>128.9</v>
      </c>
      <c r="U201">
        <v>137.9</v>
      </c>
      <c r="V201">
        <v>143.6</v>
      </c>
      <c r="W201">
        <v>128.1</v>
      </c>
      <c r="X201">
        <v>133.6</v>
      </c>
      <c r="Y201">
        <v>133.6</v>
      </c>
      <c r="Z201">
        <v>120.1</v>
      </c>
      <c r="AA201">
        <v>129</v>
      </c>
      <c r="AB201">
        <v>144</v>
      </c>
      <c r="AC201">
        <v>128.19999999999999</v>
      </c>
      <c r="AD201">
        <v>130.19999999999999</v>
      </c>
      <c r="AE201">
        <v>137.5</v>
      </c>
    </row>
    <row r="202" spans="1:31" x14ac:dyDescent="0.25">
      <c r="A202" t="s">
        <v>12</v>
      </c>
      <c r="B202">
        <v>2018</v>
      </c>
      <c r="C202" t="s">
        <v>18</v>
      </c>
      <c r="D202" t="str">
        <f t="shared" si="3"/>
        <v>2018JulyRural+Urban</v>
      </c>
      <c r="E202">
        <v>137.5</v>
      </c>
      <c r="F202">
        <v>149.1</v>
      </c>
      <c r="G202">
        <v>139.19999999999999</v>
      </c>
      <c r="H202">
        <v>142.5</v>
      </c>
      <c r="I202">
        <v>121.4</v>
      </c>
      <c r="J202">
        <v>151.6</v>
      </c>
      <c r="K202">
        <v>155.9</v>
      </c>
      <c r="L202">
        <v>121.7</v>
      </c>
      <c r="M202">
        <v>113.5</v>
      </c>
      <c r="N202">
        <v>138.9</v>
      </c>
      <c r="O202">
        <v>130.30000000000001</v>
      </c>
      <c r="P202">
        <v>152.30000000000001</v>
      </c>
      <c r="Q202">
        <v>141.4</v>
      </c>
      <c r="R202">
        <v>157.5</v>
      </c>
      <c r="S202">
        <v>146.80000000000001</v>
      </c>
      <c r="T202">
        <v>138.4</v>
      </c>
      <c r="U202">
        <v>145.6</v>
      </c>
      <c r="V202">
        <v>143.6</v>
      </c>
      <c r="W202">
        <v>139.69999999999999</v>
      </c>
      <c r="X202">
        <v>138.6</v>
      </c>
      <c r="Y202">
        <v>137</v>
      </c>
      <c r="Z202">
        <v>123.6</v>
      </c>
      <c r="AA202">
        <v>133.1</v>
      </c>
      <c r="AB202">
        <v>144.69999999999999</v>
      </c>
      <c r="AC202">
        <v>130.1</v>
      </c>
      <c r="AD202">
        <v>133.19999999999999</v>
      </c>
      <c r="AE202">
        <v>139.80000000000001</v>
      </c>
    </row>
    <row r="203" spans="1:31" x14ac:dyDescent="0.25">
      <c r="A203" t="s">
        <v>9</v>
      </c>
      <c r="B203">
        <v>2018</v>
      </c>
      <c r="C203" t="s">
        <v>19</v>
      </c>
      <c r="D203" t="str">
        <f t="shared" si="3"/>
        <v>2018AugustRural</v>
      </c>
      <c r="E203">
        <v>139.19999999999999</v>
      </c>
      <c r="F203">
        <v>148.80000000000001</v>
      </c>
      <c r="G203">
        <v>139.1</v>
      </c>
      <c r="H203">
        <v>143.5</v>
      </c>
      <c r="I203">
        <v>125</v>
      </c>
      <c r="J203">
        <v>154.4</v>
      </c>
      <c r="K203">
        <v>156.30000000000001</v>
      </c>
      <c r="L203">
        <v>126.8</v>
      </c>
      <c r="M203">
        <v>115.4</v>
      </c>
      <c r="N203">
        <v>138.6</v>
      </c>
      <c r="O203">
        <v>133.80000000000001</v>
      </c>
      <c r="P203">
        <v>155.19999999999999</v>
      </c>
      <c r="Q203">
        <v>142.69999999999999</v>
      </c>
      <c r="R203">
        <v>156.4</v>
      </c>
      <c r="S203">
        <v>152.1</v>
      </c>
      <c r="T203">
        <v>145.80000000000001</v>
      </c>
      <c r="U203">
        <v>151.30000000000001</v>
      </c>
      <c r="V203" t="s">
        <v>26</v>
      </c>
      <c r="W203">
        <v>147.69999999999999</v>
      </c>
      <c r="X203">
        <v>143.80000000000001</v>
      </c>
      <c r="Y203">
        <v>139.4</v>
      </c>
      <c r="Z203">
        <v>128.30000000000001</v>
      </c>
      <c r="AA203">
        <v>138.6</v>
      </c>
      <c r="AB203">
        <v>146.9</v>
      </c>
      <c r="AC203">
        <v>131.30000000000001</v>
      </c>
      <c r="AD203">
        <v>136.6</v>
      </c>
      <c r="AE203">
        <v>142.5</v>
      </c>
    </row>
    <row r="204" spans="1:31" x14ac:dyDescent="0.25">
      <c r="A204" t="s">
        <v>11</v>
      </c>
      <c r="B204">
        <v>2018</v>
      </c>
      <c r="C204" t="s">
        <v>19</v>
      </c>
      <c r="D204" t="str">
        <f t="shared" si="3"/>
        <v>2018AugustUrban</v>
      </c>
      <c r="E204">
        <v>136.5</v>
      </c>
      <c r="F204">
        <v>146.4</v>
      </c>
      <c r="G204">
        <v>136.6</v>
      </c>
      <c r="H204">
        <v>141.19999999999999</v>
      </c>
      <c r="I204">
        <v>117.4</v>
      </c>
      <c r="J204">
        <v>146.30000000000001</v>
      </c>
      <c r="K204">
        <v>157.30000000000001</v>
      </c>
      <c r="L204">
        <v>113.6</v>
      </c>
      <c r="M204">
        <v>113.3</v>
      </c>
      <c r="N204">
        <v>141.1</v>
      </c>
      <c r="O204">
        <v>127.4</v>
      </c>
      <c r="P204">
        <v>150.4</v>
      </c>
      <c r="Q204">
        <v>140.1</v>
      </c>
      <c r="R204">
        <v>162.1</v>
      </c>
      <c r="S204">
        <v>140</v>
      </c>
      <c r="T204">
        <v>129</v>
      </c>
      <c r="U204">
        <v>138.30000000000001</v>
      </c>
      <c r="V204">
        <v>144.6</v>
      </c>
      <c r="W204">
        <v>129.80000000000001</v>
      </c>
      <c r="X204">
        <v>134.4</v>
      </c>
      <c r="Y204">
        <v>134.9</v>
      </c>
      <c r="Z204">
        <v>120.7</v>
      </c>
      <c r="AA204">
        <v>129.80000000000001</v>
      </c>
      <c r="AB204">
        <v>145.30000000000001</v>
      </c>
      <c r="AC204">
        <v>128.30000000000001</v>
      </c>
      <c r="AD204">
        <v>131</v>
      </c>
      <c r="AE204">
        <v>138</v>
      </c>
    </row>
    <row r="205" spans="1:31" x14ac:dyDescent="0.25">
      <c r="A205" t="s">
        <v>12</v>
      </c>
      <c r="B205">
        <v>2018</v>
      </c>
      <c r="C205" t="s">
        <v>19</v>
      </c>
      <c r="D205" t="str">
        <f t="shared" si="3"/>
        <v>2018AugustRural+Urban</v>
      </c>
      <c r="E205">
        <v>138.30000000000001</v>
      </c>
      <c r="F205">
        <v>148</v>
      </c>
      <c r="G205">
        <v>138.1</v>
      </c>
      <c r="H205">
        <v>142.6</v>
      </c>
      <c r="I205">
        <v>122.2</v>
      </c>
      <c r="J205">
        <v>150.6</v>
      </c>
      <c r="K205">
        <v>156.6</v>
      </c>
      <c r="L205">
        <v>122.4</v>
      </c>
      <c r="M205">
        <v>114.7</v>
      </c>
      <c r="N205">
        <v>139.4</v>
      </c>
      <c r="O205">
        <v>131.1</v>
      </c>
      <c r="P205">
        <v>153</v>
      </c>
      <c r="Q205">
        <v>141.69999999999999</v>
      </c>
      <c r="R205">
        <v>157.9</v>
      </c>
      <c r="S205">
        <v>147.30000000000001</v>
      </c>
      <c r="T205">
        <v>138.80000000000001</v>
      </c>
      <c r="U205">
        <v>146.1</v>
      </c>
      <c r="V205">
        <v>144.6</v>
      </c>
      <c r="W205">
        <v>140.9</v>
      </c>
      <c r="X205">
        <v>139.4</v>
      </c>
      <c r="Y205">
        <v>137.69999999999999</v>
      </c>
      <c r="Z205">
        <v>124.3</v>
      </c>
      <c r="AA205">
        <v>133.6</v>
      </c>
      <c r="AB205">
        <v>146</v>
      </c>
      <c r="AC205">
        <v>130.1</v>
      </c>
      <c r="AD205">
        <v>133.9</v>
      </c>
      <c r="AE205">
        <v>140.4</v>
      </c>
    </row>
    <row r="206" spans="1:31" x14ac:dyDescent="0.25">
      <c r="A206" t="s">
        <v>9</v>
      </c>
      <c r="B206">
        <v>2018</v>
      </c>
      <c r="C206" t="s">
        <v>20</v>
      </c>
      <c r="D206" t="str">
        <f t="shared" si="3"/>
        <v>2018SeptemberRural</v>
      </c>
      <c r="E206">
        <v>139.4</v>
      </c>
      <c r="F206">
        <v>147.19999999999999</v>
      </c>
      <c r="G206">
        <v>136.6</v>
      </c>
      <c r="H206">
        <v>143.69999999999999</v>
      </c>
      <c r="I206">
        <v>124.6</v>
      </c>
      <c r="J206">
        <v>150.1</v>
      </c>
      <c r="K206">
        <v>149.4</v>
      </c>
      <c r="L206">
        <v>125.4</v>
      </c>
      <c r="M206">
        <v>114.4</v>
      </c>
      <c r="N206">
        <v>138.69999999999999</v>
      </c>
      <c r="O206">
        <v>133.1</v>
      </c>
      <c r="P206">
        <v>155.9</v>
      </c>
      <c r="Q206">
        <v>141.30000000000001</v>
      </c>
      <c r="R206">
        <v>157.69999999999999</v>
      </c>
      <c r="S206">
        <v>152.1</v>
      </c>
      <c r="T206">
        <v>146.1</v>
      </c>
      <c r="U206">
        <v>151.30000000000001</v>
      </c>
      <c r="V206" t="s">
        <v>26</v>
      </c>
      <c r="W206">
        <v>149</v>
      </c>
      <c r="X206">
        <v>144</v>
      </c>
      <c r="Y206">
        <v>140</v>
      </c>
      <c r="Z206">
        <v>129.9</v>
      </c>
      <c r="AA206">
        <v>140</v>
      </c>
      <c r="AB206">
        <v>147.6</v>
      </c>
      <c r="AC206">
        <v>132</v>
      </c>
      <c r="AD206">
        <v>137.4</v>
      </c>
      <c r="AE206">
        <v>142.1</v>
      </c>
    </row>
    <row r="207" spans="1:31" x14ac:dyDescent="0.25">
      <c r="A207" t="s">
        <v>11</v>
      </c>
      <c r="B207">
        <v>2018</v>
      </c>
      <c r="C207" t="s">
        <v>20</v>
      </c>
      <c r="D207" t="str">
        <f t="shared" si="3"/>
        <v>2018SeptemberUrban</v>
      </c>
      <c r="E207">
        <v>137</v>
      </c>
      <c r="F207">
        <v>143.1</v>
      </c>
      <c r="G207">
        <v>132.80000000000001</v>
      </c>
      <c r="H207">
        <v>141.5</v>
      </c>
      <c r="I207">
        <v>117.8</v>
      </c>
      <c r="J207">
        <v>140</v>
      </c>
      <c r="K207">
        <v>151.30000000000001</v>
      </c>
      <c r="L207">
        <v>113.5</v>
      </c>
      <c r="M207">
        <v>112.3</v>
      </c>
      <c r="N207">
        <v>141.19999999999999</v>
      </c>
      <c r="O207">
        <v>127.7</v>
      </c>
      <c r="P207">
        <v>151.30000000000001</v>
      </c>
      <c r="Q207">
        <v>138.9</v>
      </c>
      <c r="R207">
        <v>163.30000000000001</v>
      </c>
      <c r="S207">
        <v>140.80000000000001</v>
      </c>
      <c r="T207">
        <v>129.30000000000001</v>
      </c>
      <c r="U207">
        <v>139.1</v>
      </c>
      <c r="V207">
        <v>145.30000000000001</v>
      </c>
      <c r="W207">
        <v>131.19999999999999</v>
      </c>
      <c r="X207">
        <v>134.9</v>
      </c>
      <c r="Y207">
        <v>135.69999999999999</v>
      </c>
      <c r="Z207">
        <v>122.5</v>
      </c>
      <c r="AA207">
        <v>130.19999999999999</v>
      </c>
      <c r="AB207">
        <v>145.19999999999999</v>
      </c>
      <c r="AC207">
        <v>129.30000000000001</v>
      </c>
      <c r="AD207">
        <v>131.9</v>
      </c>
      <c r="AE207">
        <v>138.1</v>
      </c>
    </row>
    <row r="208" spans="1:31" x14ac:dyDescent="0.25">
      <c r="A208" t="s">
        <v>12</v>
      </c>
      <c r="B208">
        <v>2018</v>
      </c>
      <c r="C208" t="s">
        <v>20</v>
      </c>
      <c r="D208" t="str">
        <f t="shared" si="3"/>
        <v>2018SeptemberRural+Urban</v>
      </c>
      <c r="E208">
        <v>138.6</v>
      </c>
      <c r="F208">
        <v>145.80000000000001</v>
      </c>
      <c r="G208">
        <v>135.1</v>
      </c>
      <c r="H208">
        <v>142.9</v>
      </c>
      <c r="I208">
        <v>122.1</v>
      </c>
      <c r="J208">
        <v>145.4</v>
      </c>
      <c r="K208">
        <v>150</v>
      </c>
      <c r="L208">
        <v>121.4</v>
      </c>
      <c r="M208">
        <v>113.7</v>
      </c>
      <c r="N208">
        <v>139.5</v>
      </c>
      <c r="O208">
        <v>130.80000000000001</v>
      </c>
      <c r="P208">
        <v>153.80000000000001</v>
      </c>
      <c r="Q208">
        <v>140.4</v>
      </c>
      <c r="R208">
        <v>159.19999999999999</v>
      </c>
      <c r="S208">
        <v>147.69999999999999</v>
      </c>
      <c r="T208">
        <v>139.1</v>
      </c>
      <c r="U208">
        <v>146.5</v>
      </c>
      <c r="V208">
        <v>145.30000000000001</v>
      </c>
      <c r="W208">
        <v>142.30000000000001</v>
      </c>
      <c r="X208">
        <v>139.69999999999999</v>
      </c>
      <c r="Y208">
        <v>138.4</v>
      </c>
      <c r="Z208">
        <v>126</v>
      </c>
      <c r="AA208">
        <v>134.5</v>
      </c>
      <c r="AB208">
        <v>146.19999999999999</v>
      </c>
      <c r="AC208">
        <v>130.9</v>
      </c>
      <c r="AD208">
        <v>134.69999999999999</v>
      </c>
      <c r="AE208">
        <v>140.19999999999999</v>
      </c>
    </row>
    <row r="209" spans="1:31" x14ac:dyDescent="0.25">
      <c r="A209" t="s">
        <v>9</v>
      </c>
      <c r="B209">
        <v>2018</v>
      </c>
      <c r="C209" t="s">
        <v>21</v>
      </c>
      <c r="D209" t="str">
        <f t="shared" si="3"/>
        <v>2018OctoberRural</v>
      </c>
      <c r="E209">
        <v>139.30000000000001</v>
      </c>
      <c r="F209">
        <v>147.6</v>
      </c>
      <c r="G209">
        <v>134.6</v>
      </c>
      <c r="H209">
        <v>141.9</v>
      </c>
      <c r="I209">
        <v>123.5</v>
      </c>
      <c r="J209">
        <v>144.5</v>
      </c>
      <c r="K209">
        <v>147.6</v>
      </c>
      <c r="L209">
        <v>121.4</v>
      </c>
      <c r="M209">
        <v>112.3</v>
      </c>
      <c r="N209">
        <v>139.5</v>
      </c>
      <c r="O209">
        <v>134.6</v>
      </c>
      <c r="P209">
        <v>155.19999999999999</v>
      </c>
      <c r="Q209">
        <v>140.19999999999999</v>
      </c>
      <c r="R209">
        <v>159.6</v>
      </c>
      <c r="S209">
        <v>150.69999999999999</v>
      </c>
      <c r="T209">
        <v>144.5</v>
      </c>
      <c r="U209">
        <v>149.80000000000001</v>
      </c>
      <c r="V209" t="s">
        <v>26</v>
      </c>
      <c r="W209">
        <v>149.69999999999999</v>
      </c>
      <c r="X209">
        <v>147.5</v>
      </c>
      <c r="Y209">
        <v>144.80000000000001</v>
      </c>
      <c r="Z209">
        <v>130.80000000000001</v>
      </c>
      <c r="AA209">
        <v>140.1</v>
      </c>
      <c r="AB209">
        <v>148</v>
      </c>
      <c r="AC209">
        <v>134.4</v>
      </c>
      <c r="AD209">
        <v>139.80000000000001</v>
      </c>
      <c r="AE209">
        <v>142.19999999999999</v>
      </c>
    </row>
    <row r="210" spans="1:31" x14ac:dyDescent="0.25">
      <c r="A210" t="s">
        <v>11</v>
      </c>
      <c r="B210">
        <v>2018</v>
      </c>
      <c r="C210" t="s">
        <v>21</v>
      </c>
      <c r="D210" t="str">
        <f t="shared" si="3"/>
        <v>2018OctoberUrban</v>
      </c>
      <c r="E210">
        <v>137.6</v>
      </c>
      <c r="F210">
        <v>144.9</v>
      </c>
      <c r="G210">
        <v>133.5</v>
      </c>
      <c r="H210">
        <v>141.5</v>
      </c>
      <c r="I210">
        <v>118</v>
      </c>
      <c r="J210">
        <v>139.5</v>
      </c>
      <c r="K210">
        <v>153</v>
      </c>
      <c r="L210">
        <v>113.2</v>
      </c>
      <c r="M210">
        <v>112.8</v>
      </c>
      <c r="N210">
        <v>141.1</v>
      </c>
      <c r="O210">
        <v>127.6</v>
      </c>
      <c r="P210">
        <v>152</v>
      </c>
      <c r="Q210">
        <v>139.4</v>
      </c>
      <c r="R210">
        <v>164</v>
      </c>
      <c r="S210">
        <v>141.5</v>
      </c>
      <c r="T210">
        <v>129.80000000000001</v>
      </c>
      <c r="U210">
        <v>139.69999999999999</v>
      </c>
      <c r="V210">
        <v>146.30000000000001</v>
      </c>
      <c r="W210">
        <v>133.4</v>
      </c>
      <c r="X210">
        <v>135.1</v>
      </c>
      <c r="Y210">
        <v>136.19999999999999</v>
      </c>
      <c r="Z210">
        <v>123.3</v>
      </c>
      <c r="AA210">
        <v>130.69999999999999</v>
      </c>
      <c r="AB210">
        <v>145.5</v>
      </c>
      <c r="AC210">
        <v>130.4</v>
      </c>
      <c r="AD210">
        <v>132.5</v>
      </c>
      <c r="AE210">
        <v>138.9</v>
      </c>
    </row>
    <row r="211" spans="1:31" x14ac:dyDescent="0.25">
      <c r="A211" t="s">
        <v>12</v>
      </c>
      <c r="B211">
        <v>2018</v>
      </c>
      <c r="C211" t="s">
        <v>21</v>
      </c>
      <c r="D211" t="str">
        <f t="shared" si="3"/>
        <v>2018OctoberRural+Urban</v>
      </c>
      <c r="E211">
        <v>137.4</v>
      </c>
      <c r="F211">
        <v>149.5</v>
      </c>
      <c r="G211">
        <v>137.30000000000001</v>
      </c>
      <c r="H211">
        <v>141.9</v>
      </c>
      <c r="I211">
        <v>121.1</v>
      </c>
      <c r="J211">
        <v>142.5</v>
      </c>
      <c r="K211">
        <v>146.69999999999999</v>
      </c>
      <c r="L211">
        <v>119.1</v>
      </c>
      <c r="M211">
        <v>111.9</v>
      </c>
      <c r="N211">
        <v>141</v>
      </c>
      <c r="O211">
        <v>133.6</v>
      </c>
      <c r="P211">
        <v>154.5</v>
      </c>
      <c r="Q211">
        <v>139.69999999999999</v>
      </c>
      <c r="R211">
        <v>162.6</v>
      </c>
      <c r="S211">
        <v>148</v>
      </c>
      <c r="T211">
        <v>139.19999999999999</v>
      </c>
      <c r="U211">
        <v>146.80000000000001</v>
      </c>
      <c r="V211">
        <v>146.9</v>
      </c>
      <c r="W211">
        <v>145.30000000000001</v>
      </c>
      <c r="X211">
        <v>142.19999999999999</v>
      </c>
      <c r="Y211">
        <v>142.1</v>
      </c>
      <c r="Z211">
        <v>125.5</v>
      </c>
      <c r="AA211">
        <v>136.5</v>
      </c>
      <c r="AB211">
        <v>147.80000000000001</v>
      </c>
      <c r="AC211">
        <v>132</v>
      </c>
      <c r="AD211">
        <v>136.30000000000001</v>
      </c>
      <c r="AE211">
        <v>140.80000000000001</v>
      </c>
    </row>
    <row r="212" spans="1:31" x14ac:dyDescent="0.25">
      <c r="A212" t="s">
        <v>9</v>
      </c>
      <c r="B212">
        <v>2018</v>
      </c>
      <c r="C212" t="s">
        <v>23</v>
      </c>
      <c r="D212" t="str">
        <f t="shared" si="3"/>
        <v>2018NovemberRural</v>
      </c>
      <c r="E212">
        <v>137.1</v>
      </c>
      <c r="F212">
        <v>150.80000000000001</v>
      </c>
      <c r="G212">
        <v>136.69999999999999</v>
      </c>
      <c r="H212">
        <v>141.9</v>
      </c>
      <c r="I212">
        <v>122.8</v>
      </c>
      <c r="J212">
        <v>143.9</v>
      </c>
      <c r="K212">
        <v>147.5</v>
      </c>
      <c r="L212">
        <v>121</v>
      </c>
      <c r="M212">
        <v>111.6</v>
      </c>
      <c r="N212">
        <v>140.6</v>
      </c>
      <c r="O212">
        <v>137.5</v>
      </c>
      <c r="P212">
        <v>156.1</v>
      </c>
      <c r="Q212">
        <v>140</v>
      </c>
      <c r="R212">
        <v>161.9</v>
      </c>
      <c r="S212">
        <v>151.69999999999999</v>
      </c>
      <c r="T212">
        <v>145.5</v>
      </c>
      <c r="U212">
        <v>150.80000000000001</v>
      </c>
      <c r="V212" t="s">
        <v>26</v>
      </c>
      <c r="W212">
        <v>150.30000000000001</v>
      </c>
      <c r="X212">
        <v>148</v>
      </c>
      <c r="Y212">
        <v>145.4</v>
      </c>
      <c r="Z212">
        <v>130.30000000000001</v>
      </c>
      <c r="AA212">
        <v>143.1</v>
      </c>
      <c r="AB212">
        <v>150.19999999999999</v>
      </c>
      <c r="AC212">
        <v>133.1</v>
      </c>
      <c r="AD212">
        <v>140.1</v>
      </c>
      <c r="AE212">
        <v>142.4</v>
      </c>
    </row>
    <row r="213" spans="1:31" x14ac:dyDescent="0.25">
      <c r="A213" t="s">
        <v>11</v>
      </c>
      <c r="B213">
        <v>2018</v>
      </c>
      <c r="C213" t="s">
        <v>23</v>
      </c>
      <c r="D213" t="str">
        <f t="shared" si="3"/>
        <v>2018NovemberUrban</v>
      </c>
      <c r="E213">
        <v>138.1</v>
      </c>
      <c r="F213">
        <v>146.30000000000001</v>
      </c>
      <c r="G213">
        <v>137.80000000000001</v>
      </c>
      <c r="H213">
        <v>141.6</v>
      </c>
      <c r="I213">
        <v>118.1</v>
      </c>
      <c r="J213">
        <v>141.5</v>
      </c>
      <c r="K213">
        <v>145.19999999999999</v>
      </c>
      <c r="L213">
        <v>115.3</v>
      </c>
      <c r="M213">
        <v>112.5</v>
      </c>
      <c r="N213">
        <v>141.4</v>
      </c>
      <c r="O213">
        <v>128</v>
      </c>
      <c r="P213">
        <v>152.6</v>
      </c>
      <c r="Q213">
        <v>139.1</v>
      </c>
      <c r="R213">
        <v>164.4</v>
      </c>
      <c r="S213">
        <v>142.4</v>
      </c>
      <c r="T213">
        <v>130.19999999999999</v>
      </c>
      <c r="U213">
        <v>140.5</v>
      </c>
      <c r="V213">
        <v>146.9</v>
      </c>
      <c r="W213">
        <v>136.69999999999999</v>
      </c>
      <c r="X213">
        <v>135.80000000000001</v>
      </c>
      <c r="Y213">
        <v>136.80000000000001</v>
      </c>
      <c r="Z213">
        <v>121.2</v>
      </c>
      <c r="AA213">
        <v>131.30000000000001</v>
      </c>
      <c r="AB213">
        <v>146.1</v>
      </c>
      <c r="AC213">
        <v>130.5</v>
      </c>
      <c r="AD213">
        <v>132.19999999999999</v>
      </c>
      <c r="AE213">
        <v>139</v>
      </c>
    </row>
    <row r="214" spans="1:31" x14ac:dyDescent="0.25">
      <c r="A214" t="s">
        <v>12</v>
      </c>
      <c r="B214">
        <v>2018</v>
      </c>
      <c r="C214" t="s">
        <v>23</v>
      </c>
      <c r="D214" t="str">
        <f t="shared" si="3"/>
        <v>2018NovemberRural+Urban</v>
      </c>
      <c r="E214">
        <v>137.4</v>
      </c>
      <c r="F214">
        <v>149.19999999999999</v>
      </c>
      <c r="G214">
        <v>137.1</v>
      </c>
      <c r="H214">
        <v>141.80000000000001</v>
      </c>
      <c r="I214">
        <v>121.1</v>
      </c>
      <c r="J214">
        <v>142.80000000000001</v>
      </c>
      <c r="K214">
        <v>146.69999999999999</v>
      </c>
      <c r="L214">
        <v>119.1</v>
      </c>
      <c r="M214">
        <v>111.9</v>
      </c>
      <c r="N214">
        <v>140.9</v>
      </c>
      <c r="O214">
        <v>133.5</v>
      </c>
      <c r="P214">
        <v>154.5</v>
      </c>
      <c r="Q214">
        <v>139.69999999999999</v>
      </c>
      <c r="R214">
        <v>162.6</v>
      </c>
      <c r="S214">
        <v>148</v>
      </c>
      <c r="T214">
        <v>139.1</v>
      </c>
      <c r="U214">
        <v>146.69999999999999</v>
      </c>
      <c r="V214">
        <v>146.9</v>
      </c>
      <c r="W214">
        <v>145.1</v>
      </c>
      <c r="X214">
        <v>142.19999999999999</v>
      </c>
      <c r="Y214">
        <v>142.1</v>
      </c>
      <c r="Z214">
        <v>125.5</v>
      </c>
      <c r="AA214">
        <v>136.5</v>
      </c>
      <c r="AB214">
        <v>147.80000000000001</v>
      </c>
      <c r="AC214">
        <v>132</v>
      </c>
      <c r="AD214">
        <v>136.30000000000001</v>
      </c>
      <c r="AE214">
        <v>140.80000000000001</v>
      </c>
    </row>
    <row r="215" spans="1:31" x14ac:dyDescent="0.25">
      <c r="A215" t="s">
        <v>9</v>
      </c>
      <c r="B215">
        <v>2018</v>
      </c>
      <c r="C215" t="s">
        <v>24</v>
      </c>
      <c r="D215" t="str">
        <f t="shared" si="3"/>
        <v>2018DecemberRural</v>
      </c>
      <c r="E215">
        <v>137.1</v>
      </c>
      <c r="F215">
        <v>151.9</v>
      </c>
      <c r="G215">
        <v>137.4</v>
      </c>
      <c r="H215">
        <v>142.4</v>
      </c>
      <c r="I215">
        <v>124.2</v>
      </c>
      <c r="J215">
        <v>140.19999999999999</v>
      </c>
      <c r="K215">
        <v>136.6</v>
      </c>
      <c r="L215">
        <v>120.9</v>
      </c>
      <c r="M215">
        <v>109.9</v>
      </c>
      <c r="N215">
        <v>140.19999999999999</v>
      </c>
      <c r="O215">
        <v>137.80000000000001</v>
      </c>
      <c r="P215">
        <v>156</v>
      </c>
      <c r="Q215">
        <v>138.5</v>
      </c>
      <c r="R215">
        <v>162.4</v>
      </c>
      <c r="S215">
        <v>151.6</v>
      </c>
      <c r="T215">
        <v>145.9</v>
      </c>
      <c r="U215">
        <v>150.80000000000001</v>
      </c>
      <c r="V215" t="s">
        <v>26</v>
      </c>
      <c r="W215">
        <v>149</v>
      </c>
      <c r="X215">
        <v>149.5</v>
      </c>
      <c r="Y215">
        <v>149.6</v>
      </c>
      <c r="Z215">
        <v>128.9</v>
      </c>
      <c r="AA215">
        <v>143.30000000000001</v>
      </c>
      <c r="AB215">
        <v>155.1</v>
      </c>
      <c r="AC215">
        <v>133.19999999999999</v>
      </c>
      <c r="AD215">
        <v>141.6</v>
      </c>
      <c r="AE215">
        <v>141.9</v>
      </c>
    </row>
    <row r="216" spans="1:31" x14ac:dyDescent="0.25">
      <c r="A216" t="s">
        <v>11</v>
      </c>
      <c r="B216">
        <v>2018</v>
      </c>
      <c r="C216" t="s">
        <v>24</v>
      </c>
      <c r="D216" t="str">
        <f t="shared" si="3"/>
        <v>2018DecemberUrban</v>
      </c>
      <c r="E216">
        <v>138.5</v>
      </c>
      <c r="F216">
        <v>147.80000000000001</v>
      </c>
      <c r="G216">
        <v>141.1</v>
      </c>
      <c r="H216">
        <v>141.6</v>
      </c>
      <c r="I216">
        <v>118.1</v>
      </c>
      <c r="J216">
        <v>138.5</v>
      </c>
      <c r="K216">
        <v>132.4</v>
      </c>
      <c r="L216">
        <v>117.5</v>
      </c>
      <c r="M216">
        <v>111</v>
      </c>
      <c r="N216">
        <v>141.5</v>
      </c>
      <c r="O216">
        <v>128.1</v>
      </c>
      <c r="P216">
        <v>152.9</v>
      </c>
      <c r="Q216">
        <v>137.6</v>
      </c>
      <c r="R216">
        <v>164.6</v>
      </c>
      <c r="S216">
        <v>142.69999999999999</v>
      </c>
      <c r="T216">
        <v>130.30000000000001</v>
      </c>
      <c r="U216">
        <v>140.80000000000001</v>
      </c>
      <c r="V216">
        <v>146.5</v>
      </c>
      <c r="W216">
        <v>132.4</v>
      </c>
      <c r="X216">
        <v>136.19999999999999</v>
      </c>
      <c r="Y216">
        <v>137.30000000000001</v>
      </c>
      <c r="Z216">
        <v>118.8</v>
      </c>
      <c r="AA216">
        <v>131.69999999999999</v>
      </c>
      <c r="AB216">
        <v>146.5</v>
      </c>
      <c r="AC216">
        <v>130.80000000000001</v>
      </c>
      <c r="AD216">
        <v>131.69999999999999</v>
      </c>
      <c r="AE216">
        <v>138</v>
      </c>
    </row>
    <row r="217" spans="1:31" x14ac:dyDescent="0.25">
      <c r="A217" t="s">
        <v>12</v>
      </c>
      <c r="B217">
        <v>2018</v>
      </c>
      <c r="C217" t="s">
        <v>24</v>
      </c>
      <c r="D217" t="str">
        <f t="shared" si="3"/>
        <v>2018DecemberRural+Urban</v>
      </c>
      <c r="E217">
        <v>137.5</v>
      </c>
      <c r="F217">
        <v>150.5</v>
      </c>
      <c r="G217">
        <v>138.80000000000001</v>
      </c>
      <c r="H217">
        <v>142.1</v>
      </c>
      <c r="I217">
        <v>122</v>
      </c>
      <c r="J217">
        <v>139.4</v>
      </c>
      <c r="K217">
        <v>135.19999999999999</v>
      </c>
      <c r="L217">
        <v>119.8</v>
      </c>
      <c r="M217">
        <v>110.3</v>
      </c>
      <c r="N217">
        <v>140.6</v>
      </c>
      <c r="O217">
        <v>133.80000000000001</v>
      </c>
      <c r="P217">
        <v>154.6</v>
      </c>
      <c r="Q217">
        <v>138.19999999999999</v>
      </c>
      <c r="R217">
        <v>163</v>
      </c>
      <c r="S217">
        <v>148.1</v>
      </c>
      <c r="T217">
        <v>139.4</v>
      </c>
      <c r="U217">
        <v>146.80000000000001</v>
      </c>
      <c r="V217">
        <v>146.5</v>
      </c>
      <c r="W217">
        <v>142.69999999999999</v>
      </c>
      <c r="X217">
        <v>143.19999999999999</v>
      </c>
      <c r="Y217">
        <v>144.9</v>
      </c>
      <c r="Z217">
        <v>123.6</v>
      </c>
      <c r="AA217">
        <v>136.80000000000001</v>
      </c>
      <c r="AB217">
        <v>150.1</v>
      </c>
      <c r="AC217">
        <v>132.19999999999999</v>
      </c>
      <c r="AD217">
        <v>136.80000000000001</v>
      </c>
      <c r="AE217">
        <v>140.1</v>
      </c>
    </row>
    <row r="218" spans="1:31" x14ac:dyDescent="0.25">
      <c r="A218" t="s">
        <v>9</v>
      </c>
      <c r="B218">
        <v>2019</v>
      </c>
      <c r="C218" t="s">
        <v>10</v>
      </c>
      <c r="D218" t="str">
        <f t="shared" si="3"/>
        <v>2019JanuaryRural</v>
      </c>
      <c r="E218">
        <v>136.6</v>
      </c>
      <c r="F218">
        <v>152.5</v>
      </c>
      <c r="G218">
        <v>138.19999999999999</v>
      </c>
      <c r="H218">
        <v>142.4</v>
      </c>
      <c r="I218">
        <v>123.9</v>
      </c>
      <c r="J218">
        <v>135.5</v>
      </c>
      <c r="K218">
        <v>131.69999999999999</v>
      </c>
      <c r="L218">
        <v>121.3</v>
      </c>
      <c r="M218">
        <v>108.4</v>
      </c>
      <c r="N218">
        <v>138.9</v>
      </c>
      <c r="O218">
        <v>137</v>
      </c>
      <c r="P218">
        <v>155.80000000000001</v>
      </c>
      <c r="Q218">
        <v>137.4</v>
      </c>
      <c r="R218">
        <v>162.69999999999999</v>
      </c>
      <c r="S218">
        <v>150.6</v>
      </c>
      <c r="T218">
        <v>145.1</v>
      </c>
      <c r="U218">
        <v>149.9</v>
      </c>
      <c r="V218" t="s">
        <v>26</v>
      </c>
      <c r="W218">
        <v>146.19999999999999</v>
      </c>
      <c r="X218">
        <v>150.1</v>
      </c>
      <c r="Y218">
        <v>149.6</v>
      </c>
      <c r="Z218">
        <v>128.6</v>
      </c>
      <c r="AA218">
        <v>142.9</v>
      </c>
      <c r="AB218">
        <v>155.19999999999999</v>
      </c>
      <c r="AC218">
        <v>133.5</v>
      </c>
      <c r="AD218">
        <v>141.69999999999999</v>
      </c>
      <c r="AE218">
        <v>141</v>
      </c>
    </row>
    <row r="219" spans="1:31" x14ac:dyDescent="0.25">
      <c r="A219" t="s">
        <v>11</v>
      </c>
      <c r="B219">
        <v>2019</v>
      </c>
      <c r="C219" t="s">
        <v>10</v>
      </c>
      <c r="D219" t="str">
        <f t="shared" si="3"/>
        <v>2019JanuaryUrban</v>
      </c>
      <c r="E219">
        <v>138.30000000000001</v>
      </c>
      <c r="F219">
        <v>149.4</v>
      </c>
      <c r="G219">
        <v>143.5</v>
      </c>
      <c r="H219">
        <v>141.69999999999999</v>
      </c>
      <c r="I219">
        <v>118.1</v>
      </c>
      <c r="J219">
        <v>135.19999999999999</v>
      </c>
      <c r="K219">
        <v>130.5</v>
      </c>
      <c r="L219">
        <v>118.2</v>
      </c>
      <c r="M219">
        <v>110.4</v>
      </c>
      <c r="N219">
        <v>140.4</v>
      </c>
      <c r="O219">
        <v>128.1</v>
      </c>
      <c r="P219">
        <v>153.19999999999999</v>
      </c>
      <c r="Q219">
        <v>137.30000000000001</v>
      </c>
      <c r="R219">
        <v>164.7</v>
      </c>
      <c r="S219">
        <v>143</v>
      </c>
      <c r="T219">
        <v>130.4</v>
      </c>
      <c r="U219">
        <v>141.1</v>
      </c>
      <c r="V219">
        <v>147.69999999999999</v>
      </c>
      <c r="W219">
        <v>128.6</v>
      </c>
      <c r="X219">
        <v>136.30000000000001</v>
      </c>
      <c r="Y219">
        <v>137.80000000000001</v>
      </c>
      <c r="Z219">
        <v>118.6</v>
      </c>
      <c r="AA219">
        <v>131.9</v>
      </c>
      <c r="AB219">
        <v>146.6</v>
      </c>
      <c r="AC219">
        <v>131.69999999999999</v>
      </c>
      <c r="AD219">
        <v>131.80000000000001</v>
      </c>
      <c r="AE219">
        <v>138</v>
      </c>
    </row>
    <row r="220" spans="1:31" x14ac:dyDescent="0.25">
      <c r="A220" t="s">
        <v>12</v>
      </c>
      <c r="B220">
        <v>2019</v>
      </c>
      <c r="C220" t="s">
        <v>10</v>
      </c>
      <c r="D220" t="str">
        <f t="shared" si="3"/>
        <v>2019JanuaryRural+Urban</v>
      </c>
      <c r="E220">
        <v>137.1</v>
      </c>
      <c r="F220">
        <v>151.4</v>
      </c>
      <c r="G220">
        <v>140.19999999999999</v>
      </c>
      <c r="H220">
        <v>142.1</v>
      </c>
      <c r="I220">
        <v>121.8</v>
      </c>
      <c r="J220">
        <v>135.4</v>
      </c>
      <c r="K220">
        <v>131.30000000000001</v>
      </c>
      <c r="L220">
        <v>120.3</v>
      </c>
      <c r="M220">
        <v>109.1</v>
      </c>
      <c r="N220">
        <v>139.4</v>
      </c>
      <c r="O220">
        <v>133.30000000000001</v>
      </c>
      <c r="P220">
        <v>154.6</v>
      </c>
      <c r="Q220">
        <v>137.4</v>
      </c>
      <c r="R220">
        <v>163.19999999999999</v>
      </c>
      <c r="S220">
        <v>147.6</v>
      </c>
      <c r="T220">
        <v>139</v>
      </c>
      <c r="U220">
        <v>146.4</v>
      </c>
      <c r="V220">
        <v>147.69999999999999</v>
      </c>
      <c r="W220">
        <v>139.5</v>
      </c>
      <c r="X220">
        <v>143.6</v>
      </c>
      <c r="Y220">
        <v>145.1</v>
      </c>
      <c r="Z220">
        <v>123.3</v>
      </c>
      <c r="AA220">
        <v>136.69999999999999</v>
      </c>
      <c r="AB220">
        <v>150.19999999999999</v>
      </c>
      <c r="AC220">
        <v>132.80000000000001</v>
      </c>
      <c r="AD220">
        <v>136.9</v>
      </c>
      <c r="AE220">
        <v>139.6</v>
      </c>
    </row>
    <row r="221" spans="1:31" x14ac:dyDescent="0.25">
      <c r="A221" t="s">
        <v>9</v>
      </c>
      <c r="B221">
        <v>2019</v>
      </c>
      <c r="C221" t="s">
        <v>13</v>
      </c>
      <c r="D221" t="str">
        <f t="shared" si="3"/>
        <v>2019FebruaryRural</v>
      </c>
      <c r="E221">
        <v>136.80000000000001</v>
      </c>
      <c r="F221">
        <v>153</v>
      </c>
      <c r="G221">
        <v>139.1</v>
      </c>
      <c r="H221">
        <v>142.5</v>
      </c>
      <c r="I221">
        <v>124.1</v>
      </c>
      <c r="J221">
        <v>135.80000000000001</v>
      </c>
      <c r="K221">
        <v>128.69999999999999</v>
      </c>
      <c r="L221">
        <v>121.5</v>
      </c>
      <c r="M221">
        <v>108.3</v>
      </c>
      <c r="N221">
        <v>139.19999999999999</v>
      </c>
      <c r="O221">
        <v>137.4</v>
      </c>
      <c r="P221">
        <v>156.19999999999999</v>
      </c>
      <c r="Q221">
        <v>137.19999999999999</v>
      </c>
      <c r="R221">
        <v>162.80000000000001</v>
      </c>
      <c r="S221">
        <v>150.5</v>
      </c>
      <c r="T221">
        <v>146.1</v>
      </c>
      <c r="U221">
        <v>149.9</v>
      </c>
      <c r="V221" t="s">
        <v>26</v>
      </c>
      <c r="W221">
        <v>145.30000000000001</v>
      </c>
      <c r="X221">
        <v>150.1</v>
      </c>
      <c r="Y221">
        <v>149.9</v>
      </c>
      <c r="Z221">
        <v>129.19999999999999</v>
      </c>
      <c r="AA221">
        <v>143.4</v>
      </c>
      <c r="AB221">
        <v>155.5</v>
      </c>
      <c r="AC221">
        <v>134.9</v>
      </c>
      <c r="AD221">
        <v>142.19999999999999</v>
      </c>
      <c r="AE221">
        <v>141</v>
      </c>
    </row>
    <row r="222" spans="1:31" x14ac:dyDescent="0.25">
      <c r="A222" t="s">
        <v>11</v>
      </c>
      <c r="B222">
        <v>2019</v>
      </c>
      <c r="C222" t="s">
        <v>13</v>
      </c>
      <c r="D222" t="str">
        <f t="shared" si="3"/>
        <v>2019FebruaryUrban</v>
      </c>
      <c r="E222">
        <v>139.4</v>
      </c>
      <c r="F222">
        <v>150.1</v>
      </c>
      <c r="G222">
        <v>145.30000000000001</v>
      </c>
      <c r="H222">
        <v>141.69999999999999</v>
      </c>
      <c r="I222">
        <v>118.4</v>
      </c>
      <c r="J222">
        <v>137</v>
      </c>
      <c r="K222">
        <v>131.6</v>
      </c>
      <c r="L222">
        <v>119.9</v>
      </c>
      <c r="M222">
        <v>110.4</v>
      </c>
      <c r="N222">
        <v>140.80000000000001</v>
      </c>
      <c r="O222">
        <v>128.30000000000001</v>
      </c>
      <c r="P222">
        <v>153.5</v>
      </c>
      <c r="Q222">
        <v>138</v>
      </c>
      <c r="R222">
        <v>164.9</v>
      </c>
      <c r="S222">
        <v>143.30000000000001</v>
      </c>
      <c r="T222">
        <v>130.80000000000001</v>
      </c>
      <c r="U222">
        <v>141.4</v>
      </c>
      <c r="V222">
        <v>148.5</v>
      </c>
      <c r="W222">
        <v>127.1</v>
      </c>
      <c r="X222">
        <v>136.6</v>
      </c>
      <c r="Y222">
        <v>138.5</v>
      </c>
      <c r="Z222">
        <v>119.2</v>
      </c>
      <c r="AA222">
        <v>132.19999999999999</v>
      </c>
      <c r="AB222">
        <v>146.6</v>
      </c>
      <c r="AC222">
        <v>133</v>
      </c>
      <c r="AD222">
        <v>132.4</v>
      </c>
      <c r="AE222">
        <v>138.6</v>
      </c>
    </row>
    <row r="223" spans="1:31" x14ac:dyDescent="0.25">
      <c r="A223" t="s">
        <v>12</v>
      </c>
      <c r="B223">
        <v>2019</v>
      </c>
      <c r="C223" t="s">
        <v>13</v>
      </c>
      <c r="D223" t="str">
        <f t="shared" si="3"/>
        <v>2019FebruaryRural+Urban</v>
      </c>
      <c r="E223">
        <v>137.6</v>
      </c>
      <c r="F223">
        <v>152</v>
      </c>
      <c r="G223">
        <v>141.5</v>
      </c>
      <c r="H223">
        <v>142.19999999999999</v>
      </c>
      <c r="I223">
        <v>122</v>
      </c>
      <c r="J223">
        <v>136.4</v>
      </c>
      <c r="K223">
        <v>129.69999999999999</v>
      </c>
      <c r="L223">
        <v>121</v>
      </c>
      <c r="M223">
        <v>109</v>
      </c>
      <c r="N223">
        <v>139.69999999999999</v>
      </c>
      <c r="O223">
        <v>133.6</v>
      </c>
      <c r="P223">
        <v>154.9</v>
      </c>
      <c r="Q223">
        <v>137.5</v>
      </c>
      <c r="R223">
        <v>163.4</v>
      </c>
      <c r="S223">
        <v>147.69999999999999</v>
      </c>
      <c r="T223">
        <v>139.69999999999999</v>
      </c>
      <c r="U223">
        <v>146.5</v>
      </c>
      <c r="V223">
        <v>148.5</v>
      </c>
      <c r="W223">
        <v>138.4</v>
      </c>
      <c r="X223">
        <v>143.69999999999999</v>
      </c>
      <c r="Y223">
        <v>145.6</v>
      </c>
      <c r="Z223">
        <v>123.9</v>
      </c>
      <c r="AA223">
        <v>137.1</v>
      </c>
      <c r="AB223">
        <v>150.30000000000001</v>
      </c>
      <c r="AC223">
        <v>134.1</v>
      </c>
      <c r="AD223">
        <v>137.4</v>
      </c>
      <c r="AE223">
        <v>139.9</v>
      </c>
    </row>
    <row r="224" spans="1:31" x14ac:dyDescent="0.25">
      <c r="A224" t="s">
        <v>9</v>
      </c>
      <c r="B224">
        <v>2019</v>
      </c>
      <c r="C224" t="s">
        <v>15</v>
      </c>
      <c r="D224" t="str">
        <f t="shared" si="3"/>
        <v>2019MarchRural</v>
      </c>
      <c r="E224">
        <v>136.9</v>
      </c>
      <c r="F224">
        <v>154.1</v>
      </c>
      <c r="G224">
        <v>138.69999999999999</v>
      </c>
      <c r="H224">
        <v>142.5</v>
      </c>
      <c r="I224">
        <v>124.1</v>
      </c>
      <c r="J224">
        <v>136.1</v>
      </c>
      <c r="K224">
        <v>128.19999999999999</v>
      </c>
      <c r="L224">
        <v>122.3</v>
      </c>
      <c r="M224">
        <v>108.3</v>
      </c>
      <c r="N224">
        <v>138.9</v>
      </c>
      <c r="O224">
        <v>137.4</v>
      </c>
      <c r="P224">
        <v>156.4</v>
      </c>
      <c r="Q224">
        <v>137.30000000000001</v>
      </c>
      <c r="R224">
        <v>162.9</v>
      </c>
      <c r="S224">
        <v>150.80000000000001</v>
      </c>
      <c r="T224">
        <v>146.1</v>
      </c>
      <c r="U224">
        <v>150.1</v>
      </c>
      <c r="V224" t="s">
        <v>26</v>
      </c>
      <c r="W224">
        <v>146.4</v>
      </c>
      <c r="X224">
        <v>150</v>
      </c>
      <c r="Y224">
        <v>150.4</v>
      </c>
      <c r="Z224">
        <v>129.9</v>
      </c>
      <c r="AA224">
        <v>143.80000000000001</v>
      </c>
      <c r="AB224">
        <v>155.5</v>
      </c>
      <c r="AC224">
        <v>134</v>
      </c>
      <c r="AD224">
        <v>142.4</v>
      </c>
      <c r="AE224">
        <v>141.19999999999999</v>
      </c>
    </row>
    <row r="225" spans="1:31" x14ac:dyDescent="0.25">
      <c r="A225" t="s">
        <v>11</v>
      </c>
      <c r="B225">
        <v>2019</v>
      </c>
      <c r="C225" t="s">
        <v>15</v>
      </c>
      <c r="D225" t="str">
        <f t="shared" si="3"/>
        <v>2019MarchUrban</v>
      </c>
      <c r="E225">
        <v>139.69999999999999</v>
      </c>
      <c r="F225">
        <v>151.1</v>
      </c>
      <c r="G225">
        <v>142.9</v>
      </c>
      <c r="H225">
        <v>141.9</v>
      </c>
      <c r="I225">
        <v>118.4</v>
      </c>
      <c r="J225">
        <v>139.4</v>
      </c>
      <c r="K225">
        <v>141.19999999999999</v>
      </c>
      <c r="L225">
        <v>120.7</v>
      </c>
      <c r="M225">
        <v>110.4</v>
      </c>
      <c r="N225">
        <v>140.69999999999999</v>
      </c>
      <c r="O225">
        <v>128.5</v>
      </c>
      <c r="P225">
        <v>153.9</v>
      </c>
      <c r="Q225">
        <v>139.6</v>
      </c>
      <c r="R225">
        <v>165.3</v>
      </c>
      <c r="S225">
        <v>143.5</v>
      </c>
      <c r="T225">
        <v>131.19999999999999</v>
      </c>
      <c r="U225">
        <v>141.6</v>
      </c>
      <c r="V225">
        <v>149</v>
      </c>
      <c r="W225">
        <v>128.80000000000001</v>
      </c>
      <c r="X225">
        <v>136.80000000000001</v>
      </c>
      <c r="Y225">
        <v>139.19999999999999</v>
      </c>
      <c r="Z225">
        <v>119.9</v>
      </c>
      <c r="AA225">
        <v>133</v>
      </c>
      <c r="AB225">
        <v>146.69999999999999</v>
      </c>
      <c r="AC225">
        <v>132.5</v>
      </c>
      <c r="AD225">
        <v>132.80000000000001</v>
      </c>
      <c r="AE225">
        <v>139.5</v>
      </c>
    </row>
    <row r="226" spans="1:31" x14ac:dyDescent="0.25">
      <c r="A226" t="s">
        <v>12</v>
      </c>
      <c r="B226">
        <v>2019</v>
      </c>
      <c r="C226" t="s">
        <v>15</v>
      </c>
      <c r="D226" t="str">
        <f t="shared" si="3"/>
        <v>2019MarchRural+Urban</v>
      </c>
      <c r="E226">
        <v>137.80000000000001</v>
      </c>
      <c r="F226">
        <v>153</v>
      </c>
      <c r="G226">
        <v>140.30000000000001</v>
      </c>
      <c r="H226">
        <v>142.30000000000001</v>
      </c>
      <c r="I226">
        <v>122</v>
      </c>
      <c r="J226">
        <v>137.6</v>
      </c>
      <c r="K226">
        <v>132.6</v>
      </c>
      <c r="L226">
        <v>121.8</v>
      </c>
      <c r="M226">
        <v>109</v>
      </c>
      <c r="N226">
        <v>139.5</v>
      </c>
      <c r="O226">
        <v>133.69999999999999</v>
      </c>
      <c r="P226">
        <v>155.19999999999999</v>
      </c>
      <c r="Q226">
        <v>138.1</v>
      </c>
      <c r="R226">
        <v>163.5</v>
      </c>
      <c r="S226">
        <v>147.9</v>
      </c>
      <c r="T226">
        <v>139.9</v>
      </c>
      <c r="U226">
        <v>146.69999999999999</v>
      </c>
      <c r="V226">
        <v>149</v>
      </c>
      <c r="W226">
        <v>139.69999999999999</v>
      </c>
      <c r="X226">
        <v>143.80000000000001</v>
      </c>
      <c r="Y226">
        <v>146.19999999999999</v>
      </c>
      <c r="Z226">
        <v>124.6</v>
      </c>
      <c r="AA226">
        <v>137.69999999999999</v>
      </c>
      <c r="AB226">
        <v>150.30000000000001</v>
      </c>
      <c r="AC226">
        <v>133.4</v>
      </c>
      <c r="AD226">
        <v>137.69999999999999</v>
      </c>
      <c r="AE226">
        <v>140.4</v>
      </c>
    </row>
    <row r="227" spans="1:31" x14ac:dyDescent="0.25">
      <c r="A227" t="s">
        <v>9</v>
      </c>
      <c r="B227">
        <v>2019</v>
      </c>
      <c r="C227" t="s">
        <v>14</v>
      </c>
      <c r="D227" t="str">
        <f t="shared" si="3"/>
        <v>2019MayRural</v>
      </c>
      <c r="E227">
        <v>137.4</v>
      </c>
      <c r="F227">
        <v>159.5</v>
      </c>
      <c r="G227">
        <v>134.5</v>
      </c>
      <c r="H227">
        <v>142.6</v>
      </c>
      <c r="I227">
        <v>124</v>
      </c>
      <c r="J227">
        <v>143.69999999999999</v>
      </c>
      <c r="K227">
        <v>133.4</v>
      </c>
      <c r="L227">
        <v>125.1</v>
      </c>
      <c r="M227">
        <v>109.3</v>
      </c>
      <c r="N227">
        <v>139.30000000000001</v>
      </c>
      <c r="O227">
        <v>137.69999999999999</v>
      </c>
      <c r="P227">
        <v>156.4</v>
      </c>
      <c r="Q227">
        <v>139.19999999999999</v>
      </c>
      <c r="R227">
        <v>163.30000000000001</v>
      </c>
      <c r="S227">
        <v>151.30000000000001</v>
      </c>
      <c r="T227">
        <v>146.6</v>
      </c>
      <c r="U227">
        <v>150.69999999999999</v>
      </c>
      <c r="V227" t="s">
        <v>26</v>
      </c>
      <c r="W227">
        <v>146.9</v>
      </c>
      <c r="X227">
        <v>149.5</v>
      </c>
      <c r="Y227">
        <v>151.30000000000001</v>
      </c>
      <c r="Z227">
        <v>130.19999999999999</v>
      </c>
      <c r="AA227">
        <v>145.9</v>
      </c>
      <c r="AB227">
        <v>156.69999999999999</v>
      </c>
      <c r="AC227">
        <v>133.9</v>
      </c>
      <c r="AD227">
        <v>142.9</v>
      </c>
      <c r="AE227">
        <v>142.4</v>
      </c>
    </row>
    <row r="228" spans="1:31" x14ac:dyDescent="0.25">
      <c r="A228" t="s">
        <v>11</v>
      </c>
      <c r="B228">
        <v>2019</v>
      </c>
      <c r="C228" t="s">
        <v>14</v>
      </c>
      <c r="D228" t="str">
        <f t="shared" si="3"/>
        <v>2019MayUrban</v>
      </c>
      <c r="E228">
        <v>140.4</v>
      </c>
      <c r="F228">
        <v>156.69999999999999</v>
      </c>
      <c r="G228">
        <v>138.30000000000001</v>
      </c>
      <c r="H228">
        <v>142.4</v>
      </c>
      <c r="I228">
        <v>118.6</v>
      </c>
      <c r="J228">
        <v>149.69999999999999</v>
      </c>
      <c r="K228">
        <v>161.6</v>
      </c>
      <c r="L228">
        <v>124.4</v>
      </c>
      <c r="M228">
        <v>111.2</v>
      </c>
      <c r="N228">
        <v>141</v>
      </c>
      <c r="O228">
        <v>128.9</v>
      </c>
      <c r="P228">
        <v>154.5</v>
      </c>
      <c r="Q228">
        <v>143.80000000000001</v>
      </c>
      <c r="R228">
        <v>166.2</v>
      </c>
      <c r="S228">
        <v>144</v>
      </c>
      <c r="T228">
        <v>131.69999999999999</v>
      </c>
      <c r="U228">
        <v>142.19999999999999</v>
      </c>
      <c r="V228">
        <v>150.1</v>
      </c>
      <c r="W228">
        <v>129.4</v>
      </c>
      <c r="X228">
        <v>137.19999999999999</v>
      </c>
      <c r="Y228">
        <v>139.80000000000001</v>
      </c>
      <c r="Z228">
        <v>120.1</v>
      </c>
      <c r="AA228">
        <v>134</v>
      </c>
      <c r="AB228">
        <v>148</v>
      </c>
      <c r="AC228">
        <v>132.6</v>
      </c>
      <c r="AD228">
        <v>133.30000000000001</v>
      </c>
      <c r="AE228">
        <v>141.5</v>
      </c>
    </row>
    <row r="229" spans="1:31" x14ac:dyDescent="0.25">
      <c r="A229" t="s">
        <v>12</v>
      </c>
      <c r="B229">
        <v>2019</v>
      </c>
      <c r="C229" t="s">
        <v>14</v>
      </c>
      <c r="D229" t="str">
        <f t="shared" si="3"/>
        <v>2019MayRural+Urban</v>
      </c>
      <c r="E229">
        <v>138.30000000000001</v>
      </c>
      <c r="F229">
        <v>158.5</v>
      </c>
      <c r="G229">
        <v>136</v>
      </c>
      <c r="H229">
        <v>142.5</v>
      </c>
      <c r="I229">
        <v>122</v>
      </c>
      <c r="J229">
        <v>146.5</v>
      </c>
      <c r="K229">
        <v>143</v>
      </c>
      <c r="L229">
        <v>124.9</v>
      </c>
      <c r="M229">
        <v>109.9</v>
      </c>
      <c r="N229">
        <v>139.9</v>
      </c>
      <c r="O229">
        <v>134</v>
      </c>
      <c r="P229">
        <v>155.5</v>
      </c>
      <c r="Q229">
        <v>140.9</v>
      </c>
      <c r="R229">
        <v>164.1</v>
      </c>
      <c r="S229">
        <v>148.4</v>
      </c>
      <c r="T229">
        <v>140.4</v>
      </c>
      <c r="U229">
        <v>147.30000000000001</v>
      </c>
      <c r="V229">
        <v>150.1</v>
      </c>
      <c r="W229">
        <v>140.30000000000001</v>
      </c>
      <c r="X229">
        <v>143.69999999999999</v>
      </c>
      <c r="Y229">
        <v>146.9</v>
      </c>
      <c r="Z229">
        <v>124.9</v>
      </c>
      <c r="AA229">
        <v>139.19999999999999</v>
      </c>
      <c r="AB229">
        <v>151.6</v>
      </c>
      <c r="AC229">
        <v>133.4</v>
      </c>
      <c r="AD229">
        <v>138.19999999999999</v>
      </c>
      <c r="AE229">
        <v>142</v>
      </c>
    </row>
    <row r="230" spans="1:31" x14ac:dyDescent="0.25">
      <c r="A230" t="s">
        <v>9</v>
      </c>
      <c r="B230">
        <v>2019</v>
      </c>
      <c r="C230" t="s">
        <v>17</v>
      </c>
      <c r="D230" t="str">
        <f t="shared" si="3"/>
        <v>2019JuneRural</v>
      </c>
      <c r="E230">
        <v>137.80000000000001</v>
      </c>
      <c r="F230">
        <v>163.5</v>
      </c>
      <c r="G230">
        <v>136.19999999999999</v>
      </c>
      <c r="H230">
        <v>143.19999999999999</v>
      </c>
      <c r="I230">
        <v>124.3</v>
      </c>
      <c r="J230">
        <v>143.30000000000001</v>
      </c>
      <c r="K230">
        <v>140.6</v>
      </c>
      <c r="L230">
        <v>128.69999999999999</v>
      </c>
      <c r="M230">
        <v>110.6</v>
      </c>
      <c r="N230">
        <v>140.4</v>
      </c>
      <c r="O230">
        <v>138</v>
      </c>
      <c r="P230">
        <v>156.6</v>
      </c>
      <c r="Q230">
        <v>141</v>
      </c>
      <c r="R230">
        <v>164.2</v>
      </c>
      <c r="S230">
        <v>151.4</v>
      </c>
      <c r="T230">
        <v>146.5</v>
      </c>
      <c r="U230">
        <v>150.69999999999999</v>
      </c>
      <c r="V230" t="s">
        <v>26</v>
      </c>
      <c r="W230">
        <v>147.80000000000001</v>
      </c>
      <c r="X230">
        <v>149.6</v>
      </c>
      <c r="Y230">
        <v>151.69999999999999</v>
      </c>
      <c r="Z230">
        <v>130.19999999999999</v>
      </c>
      <c r="AA230">
        <v>146.4</v>
      </c>
      <c r="AB230">
        <v>157.69999999999999</v>
      </c>
      <c r="AC230">
        <v>134.80000000000001</v>
      </c>
      <c r="AD230">
        <v>143.30000000000001</v>
      </c>
      <c r="AE230">
        <v>143.6</v>
      </c>
    </row>
    <row r="231" spans="1:31" x14ac:dyDescent="0.25">
      <c r="A231" t="s">
        <v>11</v>
      </c>
      <c r="B231">
        <v>2019</v>
      </c>
      <c r="C231" t="s">
        <v>17</v>
      </c>
      <c r="D231" t="str">
        <f t="shared" si="3"/>
        <v>2019JuneUrban</v>
      </c>
      <c r="E231">
        <v>140.69999999999999</v>
      </c>
      <c r="F231">
        <v>159.6</v>
      </c>
      <c r="G231">
        <v>140.4</v>
      </c>
      <c r="H231">
        <v>143.4</v>
      </c>
      <c r="I231">
        <v>118.6</v>
      </c>
      <c r="J231">
        <v>150.9</v>
      </c>
      <c r="K231">
        <v>169.8</v>
      </c>
      <c r="L231">
        <v>127.4</v>
      </c>
      <c r="M231">
        <v>111.8</v>
      </c>
      <c r="N231">
        <v>141</v>
      </c>
      <c r="O231">
        <v>129</v>
      </c>
      <c r="P231">
        <v>155.1</v>
      </c>
      <c r="Q231">
        <v>145.6</v>
      </c>
      <c r="R231">
        <v>166.7</v>
      </c>
      <c r="S231">
        <v>144.30000000000001</v>
      </c>
      <c r="T231">
        <v>131.69999999999999</v>
      </c>
      <c r="U231">
        <v>142.4</v>
      </c>
      <c r="V231">
        <v>149.4</v>
      </c>
      <c r="W231">
        <v>130.5</v>
      </c>
      <c r="X231">
        <v>137.4</v>
      </c>
      <c r="Y231">
        <v>140.30000000000001</v>
      </c>
      <c r="Z231">
        <v>119.6</v>
      </c>
      <c r="AA231">
        <v>134.30000000000001</v>
      </c>
      <c r="AB231">
        <v>148.9</v>
      </c>
      <c r="AC231">
        <v>133.69999999999999</v>
      </c>
      <c r="AD231">
        <v>133.6</v>
      </c>
      <c r="AE231">
        <v>142.1</v>
      </c>
    </row>
    <row r="232" spans="1:31" x14ac:dyDescent="0.25">
      <c r="A232" t="s">
        <v>12</v>
      </c>
      <c r="B232">
        <v>2019</v>
      </c>
      <c r="C232" t="s">
        <v>17</v>
      </c>
      <c r="D232" t="str">
        <f t="shared" si="3"/>
        <v>2019JuneRural+Urban</v>
      </c>
      <c r="E232">
        <v>138.69999999999999</v>
      </c>
      <c r="F232">
        <v>162.1</v>
      </c>
      <c r="G232">
        <v>137.80000000000001</v>
      </c>
      <c r="H232">
        <v>143.30000000000001</v>
      </c>
      <c r="I232">
        <v>122.2</v>
      </c>
      <c r="J232">
        <v>146.80000000000001</v>
      </c>
      <c r="K232">
        <v>150.5</v>
      </c>
      <c r="L232">
        <v>128.30000000000001</v>
      </c>
      <c r="M232">
        <v>111</v>
      </c>
      <c r="N232">
        <v>140.6</v>
      </c>
      <c r="O232">
        <v>134.19999999999999</v>
      </c>
      <c r="P232">
        <v>155.9</v>
      </c>
      <c r="Q232">
        <v>142.69999999999999</v>
      </c>
      <c r="R232">
        <v>164.9</v>
      </c>
      <c r="S232">
        <v>148.6</v>
      </c>
      <c r="T232">
        <v>140.4</v>
      </c>
      <c r="U232">
        <v>147.4</v>
      </c>
      <c r="V232">
        <v>149.4</v>
      </c>
      <c r="W232">
        <v>141.19999999999999</v>
      </c>
      <c r="X232">
        <v>143.80000000000001</v>
      </c>
      <c r="Y232">
        <v>147.4</v>
      </c>
      <c r="Z232">
        <v>124.6</v>
      </c>
      <c r="AA232">
        <v>139.6</v>
      </c>
      <c r="AB232">
        <v>152.5</v>
      </c>
      <c r="AC232">
        <v>134.30000000000001</v>
      </c>
      <c r="AD232">
        <v>138.6</v>
      </c>
      <c r="AE232">
        <v>142.9</v>
      </c>
    </row>
    <row r="233" spans="1:31" x14ac:dyDescent="0.25">
      <c r="A233" t="s">
        <v>9</v>
      </c>
      <c r="B233">
        <v>2019</v>
      </c>
      <c r="C233" t="s">
        <v>18</v>
      </c>
      <c r="D233" t="str">
        <f t="shared" si="3"/>
        <v>2019JulyRural</v>
      </c>
      <c r="E233">
        <v>138.4</v>
      </c>
      <c r="F233">
        <v>164</v>
      </c>
      <c r="G233">
        <v>138.4</v>
      </c>
      <c r="H233">
        <v>143.9</v>
      </c>
      <c r="I233">
        <v>124.4</v>
      </c>
      <c r="J233">
        <v>146.4</v>
      </c>
      <c r="K233">
        <v>150.1</v>
      </c>
      <c r="L233">
        <v>130.6</v>
      </c>
      <c r="M233">
        <v>110.8</v>
      </c>
      <c r="N233">
        <v>141.69999999999999</v>
      </c>
      <c r="O233">
        <v>138.5</v>
      </c>
      <c r="P233">
        <v>156.69999999999999</v>
      </c>
      <c r="Q233">
        <v>143</v>
      </c>
      <c r="R233">
        <v>164.5</v>
      </c>
      <c r="S233">
        <v>151.6</v>
      </c>
      <c r="T233">
        <v>146.6</v>
      </c>
      <c r="U233">
        <v>150.9</v>
      </c>
      <c r="V233" t="s">
        <v>26</v>
      </c>
      <c r="W233">
        <v>146.80000000000001</v>
      </c>
      <c r="X233">
        <v>150</v>
      </c>
      <c r="Y233">
        <v>152.19999999999999</v>
      </c>
      <c r="Z233">
        <v>131.19999999999999</v>
      </c>
      <c r="AA233">
        <v>147.5</v>
      </c>
      <c r="AB233">
        <v>159.1</v>
      </c>
      <c r="AC233">
        <v>136.1</v>
      </c>
      <c r="AD233">
        <v>144.19999999999999</v>
      </c>
      <c r="AE233">
        <v>144.9</v>
      </c>
    </row>
    <row r="234" spans="1:31" x14ac:dyDescent="0.25">
      <c r="A234" t="s">
        <v>11</v>
      </c>
      <c r="B234">
        <v>2019</v>
      </c>
      <c r="C234" t="s">
        <v>18</v>
      </c>
      <c r="D234" t="str">
        <f t="shared" si="3"/>
        <v>2019JulyUrban</v>
      </c>
      <c r="E234">
        <v>141.4</v>
      </c>
      <c r="F234">
        <v>160.19999999999999</v>
      </c>
      <c r="G234">
        <v>142.5</v>
      </c>
      <c r="H234">
        <v>144.1</v>
      </c>
      <c r="I234">
        <v>119.3</v>
      </c>
      <c r="J234">
        <v>154.69999999999999</v>
      </c>
      <c r="K234">
        <v>180.1</v>
      </c>
      <c r="L234">
        <v>128.9</v>
      </c>
      <c r="M234">
        <v>111.8</v>
      </c>
      <c r="N234">
        <v>141.6</v>
      </c>
      <c r="O234">
        <v>129.5</v>
      </c>
      <c r="P234">
        <v>155.6</v>
      </c>
      <c r="Q234">
        <v>147.69999999999999</v>
      </c>
      <c r="R234">
        <v>167.2</v>
      </c>
      <c r="S234">
        <v>144.69999999999999</v>
      </c>
      <c r="T234">
        <v>131.9</v>
      </c>
      <c r="U234">
        <v>142.69999999999999</v>
      </c>
      <c r="V234">
        <v>150.6</v>
      </c>
      <c r="W234">
        <v>127</v>
      </c>
      <c r="X234">
        <v>137.69999999999999</v>
      </c>
      <c r="Y234">
        <v>140.80000000000001</v>
      </c>
      <c r="Z234">
        <v>120.6</v>
      </c>
      <c r="AA234">
        <v>135</v>
      </c>
      <c r="AB234">
        <v>150.4</v>
      </c>
      <c r="AC234">
        <v>135.1</v>
      </c>
      <c r="AD234">
        <v>134.5</v>
      </c>
      <c r="AE234">
        <v>143.30000000000001</v>
      </c>
    </row>
    <row r="235" spans="1:31" x14ac:dyDescent="0.25">
      <c r="A235" t="s">
        <v>12</v>
      </c>
      <c r="B235">
        <v>2019</v>
      </c>
      <c r="C235" t="s">
        <v>18</v>
      </c>
      <c r="D235" t="str">
        <f t="shared" si="3"/>
        <v>2019JulyRural+Urban</v>
      </c>
      <c r="E235">
        <v>139.30000000000001</v>
      </c>
      <c r="F235">
        <v>162.69999999999999</v>
      </c>
      <c r="G235">
        <v>140</v>
      </c>
      <c r="H235">
        <v>144</v>
      </c>
      <c r="I235">
        <v>122.5</v>
      </c>
      <c r="J235">
        <v>150.30000000000001</v>
      </c>
      <c r="K235">
        <v>160.30000000000001</v>
      </c>
      <c r="L235">
        <v>130</v>
      </c>
      <c r="M235">
        <v>111.1</v>
      </c>
      <c r="N235">
        <v>141.69999999999999</v>
      </c>
      <c r="O235">
        <v>134.69999999999999</v>
      </c>
      <c r="P235">
        <v>156.19999999999999</v>
      </c>
      <c r="Q235">
        <v>144.69999999999999</v>
      </c>
      <c r="R235">
        <v>165.2</v>
      </c>
      <c r="S235">
        <v>148.9</v>
      </c>
      <c r="T235">
        <v>140.5</v>
      </c>
      <c r="U235">
        <v>147.6</v>
      </c>
      <c r="V235">
        <v>150.6</v>
      </c>
      <c r="W235">
        <v>139.30000000000001</v>
      </c>
      <c r="X235">
        <v>144.19999999999999</v>
      </c>
      <c r="Y235">
        <v>147.9</v>
      </c>
      <c r="Z235">
        <v>125.6</v>
      </c>
      <c r="AA235">
        <v>140.5</v>
      </c>
      <c r="AB235">
        <v>154</v>
      </c>
      <c r="AC235">
        <v>135.69999999999999</v>
      </c>
      <c r="AD235">
        <v>139.5</v>
      </c>
      <c r="AE235">
        <v>144.19999999999999</v>
      </c>
    </row>
    <row r="236" spans="1:31" x14ac:dyDescent="0.25">
      <c r="A236" t="s">
        <v>9</v>
      </c>
      <c r="B236">
        <v>2019</v>
      </c>
      <c r="C236" t="s">
        <v>19</v>
      </c>
      <c r="D236" t="str">
        <f t="shared" si="3"/>
        <v>2019AugustRural</v>
      </c>
      <c r="E236">
        <v>139.19999999999999</v>
      </c>
      <c r="F236">
        <v>161.9</v>
      </c>
      <c r="G236">
        <v>137.1</v>
      </c>
      <c r="H236">
        <v>144.6</v>
      </c>
      <c r="I236">
        <v>124.7</v>
      </c>
      <c r="J236">
        <v>145.5</v>
      </c>
      <c r="K236">
        <v>156.19999999999999</v>
      </c>
      <c r="L236">
        <v>131.5</v>
      </c>
      <c r="M236">
        <v>111.7</v>
      </c>
      <c r="N236">
        <v>142.69999999999999</v>
      </c>
      <c r="O236">
        <v>138.5</v>
      </c>
      <c r="P236">
        <v>156.9</v>
      </c>
      <c r="Q236">
        <v>144</v>
      </c>
      <c r="R236">
        <v>165.1</v>
      </c>
      <c r="S236">
        <v>151.80000000000001</v>
      </c>
      <c r="T236">
        <v>146.6</v>
      </c>
      <c r="U236">
        <v>151.1</v>
      </c>
      <c r="V236" t="s">
        <v>26</v>
      </c>
      <c r="W236">
        <v>146.4</v>
      </c>
      <c r="X236">
        <v>150.19999999999999</v>
      </c>
      <c r="Y236">
        <v>152.69999999999999</v>
      </c>
      <c r="Z236">
        <v>131.4</v>
      </c>
      <c r="AA236">
        <v>148</v>
      </c>
      <c r="AB236">
        <v>159.69999999999999</v>
      </c>
      <c r="AC236">
        <v>138.80000000000001</v>
      </c>
      <c r="AD236">
        <v>144.9</v>
      </c>
      <c r="AE236">
        <v>145.69999999999999</v>
      </c>
    </row>
    <row r="237" spans="1:31" x14ac:dyDescent="0.25">
      <c r="A237" t="s">
        <v>11</v>
      </c>
      <c r="B237">
        <v>2019</v>
      </c>
      <c r="C237" t="s">
        <v>19</v>
      </c>
      <c r="D237" t="str">
        <f t="shared" si="3"/>
        <v>2019AugustUrban</v>
      </c>
      <c r="E237">
        <v>142.1</v>
      </c>
      <c r="F237">
        <v>158.30000000000001</v>
      </c>
      <c r="G237">
        <v>140.80000000000001</v>
      </c>
      <c r="H237">
        <v>144.9</v>
      </c>
      <c r="I237">
        <v>119.9</v>
      </c>
      <c r="J237">
        <v>153.9</v>
      </c>
      <c r="K237">
        <v>189.1</v>
      </c>
      <c r="L237">
        <v>129.80000000000001</v>
      </c>
      <c r="M237">
        <v>112.7</v>
      </c>
      <c r="N237">
        <v>142.5</v>
      </c>
      <c r="O237">
        <v>129.80000000000001</v>
      </c>
      <c r="P237">
        <v>156.19999999999999</v>
      </c>
      <c r="Q237">
        <v>149.1</v>
      </c>
      <c r="R237">
        <v>167.9</v>
      </c>
      <c r="S237">
        <v>145</v>
      </c>
      <c r="T237">
        <v>132.19999999999999</v>
      </c>
      <c r="U237">
        <v>143</v>
      </c>
      <c r="V237">
        <v>151.6</v>
      </c>
      <c r="W237">
        <v>125.5</v>
      </c>
      <c r="X237">
        <v>138.1</v>
      </c>
      <c r="Y237">
        <v>141.5</v>
      </c>
      <c r="Z237">
        <v>120.8</v>
      </c>
      <c r="AA237">
        <v>135.4</v>
      </c>
      <c r="AB237">
        <v>151.5</v>
      </c>
      <c r="AC237">
        <v>137.80000000000001</v>
      </c>
      <c r="AD237">
        <v>135.30000000000001</v>
      </c>
      <c r="AE237">
        <v>144.19999999999999</v>
      </c>
    </row>
    <row r="238" spans="1:31" x14ac:dyDescent="0.25">
      <c r="A238" t="s">
        <v>12</v>
      </c>
      <c r="B238">
        <v>2019</v>
      </c>
      <c r="C238" t="s">
        <v>19</v>
      </c>
      <c r="D238" t="str">
        <f t="shared" si="3"/>
        <v>2019AugustRural+Urban</v>
      </c>
      <c r="E238">
        <v>140.1</v>
      </c>
      <c r="F238">
        <v>160.6</v>
      </c>
      <c r="G238">
        <v>138.5</v>
      </c>
      <c r="H238">
        <v>144.69999999999999</v>
      </c>
      <c r="I238">
        <v>122.9</v>
      </c>
      <c r="J238">
        <v>149.4</v>
      </c>
      <c r="K238">
        <v>167.4</v>
      </c>
      <c r="L238">
        <v>130.9</v>
      </c>
      <c r="M238">
        <v>112</v>
      </c>
      <c r="N238">
        <v>142.6</v>
      </c>
      <c r="O238">
        <v>134.9</v>
      </c>
      <c r="P238">
        <v>156.6</v>
      </c>
      <c r="Q238">
        <v>145.9</v>
      </c>
      <c r="R238">
        <v>165.8</v>
      </c>
      <c r="S238">
        <v>149.1</v>
      </c>
      <c r="T238">
        <v>140.6</v>
      </c>
      <c r="U238">
        <v>147.9</v>
      </c>
      <c r="V238">
        <v>151.6</v>
      </c>
      <c r="W238">
        <v>138.5</v>
      </c>
      <c r="X238">
        <v>144.5</v>
      </c>
      <c r="Y238">
        <v>148.5</v>
      </c>
      <c r="Z238">
        <v>125.8</v>
      </c>
      <c r="AA238">
        <v>140.9</v>
      </c>
      <c r="AB238">
        <v>154.9</v>
      </c>
      <c r="AC238">
        <v>138.4</v>
      </c>
      <c r="AD238">
        <v>140.19999999999999</v>
      </c>
      <c r="AE238">
        <v>145</v>
      </c>
    </row>
    <row r="239" spans="1:31" x14ac:dyDescent="0.25">
      <c r="A239" t="s">
        <v>9</v>
      </c>
      <c r="B239">
        <v>2019</v>
      </c>
      <c r="C239" t="s">
        <v>20</v>
      </c>
      <c r="D239" t="str">
        <f t="shared" si="3"/>
        <v>2019SeptemberRural</v>
      </c>
      <c r="E239">
        <v>140.1</v>
      </c>
      <c r="F239">
        <v>161.9</v>
      </c>
      <c r="G239">
        <v>138.30000000000001</v>
      </c>
      <c r="H239">
        <v>145.69999999999999</v>
      </c>
      <c r="I239">
        <v>125.1</v>
      </c>
      <c r="J239">
        <v>143.80000000000001</v>
      </c>
      <c r="K239">
        <v>163.4</v>
      </c>
      <c r="L239">
        <v>132.19999999999999</v>
      </c>
      <c r="M239">
        <v>112.8</v>
      </c>
      <c r="N239">
        <v>144.19999999999999</v>
      </c>
      <c r="O239">
        <v>138.5</v>
      </c>
      <c r="P239">
        <v>157.19999999999999</v>
      </c>
      <c r="Q239">
        <v>145.5</v>
      </c>
      <c r="R239">
        <v>165.7</v>
      </c>
      <c r="S239">
        <v>151.69999999999999</v>
      </c>
      <c r="T239">
        <v>146.6</v>
      </c>
      <c r="U239">
        <v>151</v>
      </c>
      <c r="V239" t="s">
        <v>26</v>
      </c>
      <c r="W239">
        <v>146.9</v>
      </c>
      <c r="X239">
        <v>150.30000000000001</v>
      </c>
      <c r="Y239">
        <v>153.4</v>
      </c>
      <c r="Z239">
        <v>131.6</v>
      </c>
      <c r="AA239">
        <v>148.30000000000001</v>
      </c>
      <c r="AB239">
        <v>160.19999999999999</v>
      </c>
      <c r="AC239">
        <v>140.19999999999999</v>
      </c>
      <c r="AD239">
        <v>145.4</v>
      </c>
      <c r="AE239">
        <v>146.69999999999999</v>
      </c>
    </row>
    <row r="240" spans="1:31" x14ac:dyDescent="0.25">
      <c r="A240" t="s">
        <v>11</v>
      </c>
      <c r="B240">
        <v>2019</v>
      </c>
      <c r="C240" t="s">
        <v>20</v>
      </c>
      <c r="D240" t="str">
        <f t="shared" si="3"/>
        <v>2019SeptemberUrban</v>
      </c>
      <c r="E240">
        <v>142.69999999999999</v>
      </c>
      <c r="F240">
        <v>158.69999999999999</v>
      </c>
      <c r="G240">
        <v>141.6</v>
      </c>
      <c r="H240">
        <v>144.9</v>
      </c>
      <c r="I240">
        <v>120.8</v>
      </c>
      <c r="J240">
        <v>149.80000000000001</v>
      </c>
      <c r="K240">
        <v>192.4</v>
      </c>
      <c r="L240">
        <v>130.30000000000001</v>
      </c>
      <c r="M240">
        <v>114</v>
      </c>
      <c r="N240">
        <v>143.80000000000001</v>
      </c>
      <c r="O240">
        <v>130</v>
      </c>
      <c r="P240">
        <v>156.4</v>
      </c>
      <c r="Q240">
        <v>149.5</v>
      </c>
      <c r="R240">
        <v>168.6</v>
      </c>
      <c r="S240">
        <v>145.30000000000001</v>
      </c>
      <c r="T240">
        <v>132.19999999999999</v>
      </c>
      <c r="U240">
        <v>143.30000000000001</v>
      </c>
      <c r="V240">
        <v>152.19999999999999</v>
      </c>
      <c r="W240">
        <v>126.6</v>
      </c>
      <c r="X240">
        <v>138.30000000000001</v>
      </c>
      <c r="Y240">
        <v>141.9</v>
      </c>
      <c r="Z240">
        <v>121.2</v>
      </c>
      <c r="AA240">
        <v>135.9</v>
      </c>
      <c r="AB240">
        <v>151.6</v>
      </c>
      <c r="AC240">
        <v>139</v>
      </c>
      <c r="AD240">
        <v>135.69999999999999</v>
      </c>
      <c r="AE240">
        <v>144.69999999999999</v>
      </c>
    </row>
    <row r="241" spans="1:31" x14ac:dyDescent="0.25">
      <c r="A241" t="s">
        <v>12</v>
      </c>
      <c r="B241">
        <v>2019</v>
      </c>
      <c r="C241" t="s">
        <v>20</v>
      </c>
      <c r="D241" t="str">
        <f t="shared" si="3"/>
        <v>2019SeptemberRural+Urban</v>
      </c>
      <c r="E241">
        <v>140.9</v>
      </c>
      <c r="F241">
        <v>160.80000000000001</v>
      </c>
      <c r="G241">
        <v>139.6</v>
      </c>
      <c r="H241">
        <v>145.4</v>
      </c>
      <c r="I241">
        <v>123.5</v>
      </c>
      <c r="J241">
        <v>146.6</v>
      </c>
      <c r="K241">
        <v>173.2</v>
      </c>
      <c r="L241">
        <v>131.6</v>
      </c>
      <c r="M241">
        <v>113.2</v>
      </c>
      <c r="N241">
        <v>144.1</v>
      </c>
      <c r="O241">
        <v>135</v>
      </c>
      <c r="P241">
        <v>156.80000000000001</v>
      </c>
      <c r="Q241">
        <v>147</v>
      </c>
      <c r="R241">
        <v>166.5</v>
      </c>
      <c r="S241">
        <v>149.19999999999999</v>
      </c>
      <c r="T241">
        <v>140.6</v>
      </c>
      <c r="U241">
        <v>147.9</v>
      </c>
      <c r="V241">
        <v>152.19999999999999</v>
      </c>
      <c r="W241">
        <v>139.19999999999999</v>
      </c>
      <c r="X241">
        <v>144.6</v>
      </c>
      <c r="Y241">
        <v>149</v>
      </c>
      <c r="Z241">
        <v>126.1</v>
      </c>
      <c r="AA241">
        <v>141.30000000000001</v>
      </c>
      <c r="AB241">
        <v>155.19999999999999</v>
      </c>
      <c r="AC241">
        <v>139.69999999999999</v>
      </c>
      <c r="AD241">
        <v>140.69999999999999</v>
      </c>
      <c r="AE241">
        <v>145.80000000000001</v>
      </c>
    </row>
    <row r="242" spans="1:31" x14ac:dyDescent="0.25">
      <c r="A242" t="s">
        <v>9</v>
      </c>
      <c r="B242">
        <v>2019</v>
      </c>
      <c r="C242" t="s">
        <v>21</v>
      </c>
      <c r="D242" t="str">
        <f t="shared" si="3"/>
        <v>2019OctoberRural</v>
      </c>
      <c r="E242">
        <v>141</v>
      </c>
      <c r="F242">
        <v>161.6</v>
      </c>
      <c r="G242">
        <v>141.19999999999999</v>
      </c>
      <c r="H242">
        <v>146.5</v>
      </c>
      <c r="I242">
        <v>125.6</v>
      </c>
      <c r="J242">
        <v>145.69999999999999</v>
      </c>
      <c r="K242">
        <v>178.8</v>
      </c>
      <c r="L242">
        <v>133.1</v>
      </c>
      <c r="M242">
        <v>113.6</v>
      </c>
      <c r="N242">
        <v>145.5</v>
      </c>
      <c r="O242">
        <v>138.6</v>
      </c>
      <c r="P242">
        <v>157.4</v>
      </c>
      <c r="Q242">
        <v>148.30000000000001</v>
      </c>
      <c r="R242">
        <v>166.3</v>
      </c>
      <c r="S242">
        <v>151.69999999999999</v>
      </c>
      <c r="T242">
        <v>146.69999999999999</v>
      </c>
      <c r="U242">
        <v>151</v>
      </c>
      <c r="V242" t="s">
        <v>26</v>
      </c>
      <c r="W242">
        <v>147.69999999999999</v>
      </c>
      <c r="X242">
        <v>150.6</v>
      </c>
      <c r="Y242">
        <v>153.69999999999999</v>
      </c>
      <c r="Z242">
        <v>131.69999999999999</v>
      </c>
      <c r="AA242">
        <v>148.69999999999999</v>
      </c>
      <c r="AB242">
        <v>160.69999999999999</v>
      </c>
      <c r="AC242">
        <v>140.30000000000001</v>
      </c>
      <c r="AD242">
        <v>145.69999999999999</v>
      </c>
      <c r="AE242">
        <v>148.30000000000001</v>
      </c>
    </row>
    <row r="243" spans="1:31" x14ac:dyDescent="0.25">
      <c r="A243" t="s">
        <v>11</v>
      </c>
      <c r="B243">
        <v>2019</v>
      </c>
      <c r="C243" t="s">
        <v>21</v>
      </c>
      <c r="D243" t="str">
        <f t="shared" si="3"/>
        <v>2019OctoberUrban</v>
      </c>
      <c r="E243">
        <v>143.5</v>
      </c>
      <c r="F243">
        <v>159.80000000000001</v>
      </c>
      <c r="G243">
        <v>144.69999999999999</v>
      </c>
      <c r="H243">
        <v>145.6</v>
      </c>
      <c r="I243">
        <v>121.1</v>
      </c>
      <c r="J243">
        <v>150.6</v>
      </c>
      <c r="K243">
        <v>207.2</v>
      </c>
      <c r="L243">
        <v>131.19999999999999</v>
      </c>
      <c r="M243">
        <v>114.8</v>
      </c>
      <c r="N243">
        <v>145.19999999999999</v>
      </c>
      <c r="O243">
        <v>130.19999999999999</v>
      </c>
      <c r="P243">
        <v>156.80000000000001</v>
      </c>
      <c r="Q243">
        <v>151.9</v>
      </c>
      <c r="R243">
        <v>169.3</v>
      </c>
      <c r="S243">
        <v>145.9</v>
      </c>
      <c r="T243">
        <v>132.4</v>
      </c>
      <c r="U243">
        <v>143.9</v>
      </c>
      <c r="V243">
        <v>153</v>
      </c>
      <c r="W243">
        <v>128.9</v>
      </c>
      <c r="X243">
        <v>138.69999999999999</v>
      </c>
      <c r="Y243">
        <v>142.4</v>
      </c>
      <c r="Z243">
        <v>121.5</v>
      </c>
      <c r="AA243">
        <v>136.19999999999999</v>
      </c>
      <c r="AB243">
        <v>151.69999999999999</v>
      </c>
      <c r="AC243">
        <v>139.5</v>
      </c>
      <c r="AD243">
        <v>136</v>
      </c>
      <c r="AE243">
        <v>146</v>
      </c>
    </row>
    <row r="244" spans="1:31" x14ac:dyDescent="0.25">
      <c r="A244" t="s">
        <v>12</v>
      </c>
      <c r="B244">
        <v>2019</v>
      </c>
      <c r="C244" t="s">
        <v>21</v>
      </c>
      <c r="D244" t="str">
        <f t="shared" si="3"/>
        <v>2019OctoberRural+Urban</v>
      </c>
      <c r="E244">
        <v>141.80000000000001</v>
      </c>
      <c r="F244">
        <v>161</v>
      </c>
      <c r="G244">
        <v>142.6</v>
      </c>
      <c r="H244">
        <v>146.19999999999999</v>
      </c>
      <c r="I244">
        <v>123.9</v>
      </c>
      <c r="J244">
        <v>148</v>
      </c>
      <c r="K244">
        <v>188.4</v>
      </c>
      <c r="L244">
        <v>132.5</v>
      </c>
      <c r="M244">
        <v>114</v>
      </c>
      <c r="N244">
        <v>145.4</v>
      </c>
      <c r="O244">
        <v>135.1</v>
      </c>
      <c r="P244">
        <v>157.1</v>
      </c>
      <c r="Q244">
        <v>149.6</v>
      </c>
      <c r="R244">
        <v>167.1</v>
      </c>
      <c r="S244">
        <v>149.4</v>
      </c>
      <c r="T244">
        <v>140.80000000000001</v>
      </c>
      <c r="U244">
        <v>148.19999999999999</v>
      </c>
      <c r="V244">
        <v>153</v>
      </c>
      <c r="W244">
        <v>140.6</v>
      </c>
      <c r="X244">
        <v>145</v>
      </c>
      <c r="Y244">
        <v>149.4</v>
      </c>
      <c r="Z244">
        <v>126.3</v>
      </c>
      <c r="AA244">
        <v>141.69999999999999</v>
      </c>
      <c r="AB244">
        <v>155.4</v>
      </c>
      <c r="AC244">
        <v>140</v>
      </c>
      <c r="AD244">
        <v>141</v>
      </c>
      <c r="AE244">
        <v>147.19999999999999</v>
      </c>
    </row>
    <row r="245" spans="1:31" x14ac:dyDescent="0.25">
      <c r="A245" t="s">
        <v>9</v>
      </c>
      <c r="B245">
        <v>2019</v>
      </c>
      <c r="C245" t="s">
        <v>23</v>
      </c>
      <c r="D245" t="str">
        <f t="shared" si="3"/>
        <v>2019NovemberRural</v>
      </c>
      <c r="E245">
        <v>141.80000000000001</v>
      </c>
      <c r="F245">
        <v>163.69999999999999</v>
      </c>
      <c r="G245">
        <v>143.80000000000001</v>
      </c>
      <c r="H245">
        <v>147.1</v>
      </c>
      <c r="I245">
        <v>126</v>
      </c>
      <c r="J245">
        <v>146.19999999999999</v>
      </c>
      <c r="K245">
        <v>191.4</v>
      </c>
      <c r="L245">
        <v>136.19999999999999</v>
      </c>
      <c r="M245">
        <v>113.8</v>
      </c>
      <c r="N245">
        <v>147.30000000000001</v>
      </c>
      <c r="O245">
        <v>138.69999999999999</v>
      </c>
      <c r="P245">
        <v>157.69999999999999</v>
      </c>
      <c r="Q245">
        <v>150.9</v>
      </c>
      <c r="R245">
        <v>167.2</v>
      </c>
      <c r="S245">
        <v>152.30000000000001</v>
      </c>
      <c r="T245">
        <v>147</v>
      </c>
      <c r="U245">
        <v>151.5</v>
      </c>
      <c r="V245" t="s">
        <v>26</v>
      </c>
      <c r="W245">
        <v>148.4</v>
      </c>
      <c r="X245">
        <v>150.9</v>
      </c>
      <c r="Y245">
        <v>154.30000000000001</v>
      </c>
      <c r="Z245">
        <v>132.1</v>
      </c>
      <c r="AA245">
        <v>149.1</v>
      </c>
      <c r="AB245">
        <v>160.80000000000001</v>
      </c>
      <c r="AC245">
        <v>140.6</v>
      </c>
      <c r="AD245">
        <v>146.1</v>
      </c>
      <c r="AE245">
        <v>149.9</v>
      </c>
    </row>
    <row r="246" spans="1:31" x14ac:dyDescent="0.25">
      <c r="A246" t="s">
        <v>11</v>
      </c>
      <c r="B246">
        <v>2019</v>
      </c>
      <c r="C246" t="s">
        <v>23</v>
      </c>
      <c r="D246" t="str">
        <f t="shared" si="3"/>
        <v>2019NovemberUrban</v>
      </c>
      <c r="E246">
        <v>144.1</v>
      </c>
      <c r="F246">
        <v>162.4</v>
      </c>
      <c r="G246">
        <v>148.4</v>
      </c>
      <c r="H246">
        <v>145.9</v>
      </c>
      <c r="I246">
        <v>121.5</v>
      </c>
      <c r="J246">
        <v>148.80000000000001</v>
      </c>
      <c r="K246">
        <v>215.7</v>
      </c>
      <c r="L246">
        <v>134.6</v>
      </c>
      <c r="M246">
        <v>115</v>
      </c>
      <c r="N246">
        <v>146.30000000000001</v>
      </c>
      <c r="O246">
        <v>130.5</v>
      </c>
      <c r="P246">
        <v>157.19999999999999</v>
      </c>
      <c r="Q246">
        <v>153.6</v>
      </c>
      <c r="R246">
        <v>169.9</v>
      </c>
      <c r="S246">
        <v>146.30000000000001</v>
      </c>
      <c r="T246">
        <v>132.6</v>
      </c>
      <c r="U246">
        <v>144.19999999999999</v>
      </c>
      <c r="V246">
        <v>153.5</v>
      </c>
      <c r="W246">
        <v>132.19999999999999</v>
      </c>
      <c r="X246">
        <v>139.1</v>
      </c>
      <c r="Y246">
        <v>142.80000000000001</v>
      </c>
      <c r="Z246">
        <v>121.7</v>
      </c>
      <c r="AA246">
        <v>136.69999999999999</v>
      </c>
      <c r="AB246">
        <v>151.80000000000001</v>
      </c>
      <c r="AC246">
        <v>139.80000000000001</v>
      </c>
      <c r="AD246">
        <v>136.30000000000001</v>
      </c>
      <c r="AE246">
        <v>147</v>
      </c>
    </row>
    <row r="247" spans="1:31" x14ac:dyDescent="0.25">
      <c r="A247" t="s">
        <v>12</v>
      </c>
      <c r="B247">
        <v>2019</v>
      </c>
      <c r="C247" t="s">
        <v>23</v>
      </c>
      <c r="D247" t="str">
        <f t="shared" si="3"/>
        <v>2019NovemberRural+Urban</v>
      </c>
      <c r="E247">
        <v>142.5</v>
      </c>
      <c r="F247">
        <v>163.19999999999999</v>
      </c>
      <c r="G247">
        <v>145.6</v>
      </c>
      <c r="H247">
        <v>146.69999999999999</v>
      </c>
      <c r="I247">
        <v>124.3</v>
      </c>
      <c r="J247">
        <v>147.4</v>
      </c>
      <c r="K247">
        <v>199.6</v>
      </c>
      <c r="L247">
        <v>135.69999999999999</v>
      </c>
      <c r="M247">
        <v>114.2</v>
      </c>
      <c r="N247">
        <v>147</v>
      </c>
      <c r="O247">
        <v>135.30000000000001</v>
      </c>
      <c r="P247">
        <v>157.5</v>
      </c>
      <c r="Q247">
        <v>151.9</v>
      </c>
      <c r="R247">
        <v>167.9</v>
      </c>
      <c r="S247">
        <v>149.9</v>
      </c>
      <c r="T247">
        <v>141</v>
      </c>
      <c r="U247">
        <v>148.6</v>
      </c>
      <c r="V247">
        <v>153.5</v>
      </c>
      <c r="W247">
        <v>142.30000000000001</v>
      </c>
      <c r="X247">
        <v>145.30000000000001</v>
      </c>
      <c r="Y247">
        <v>149.9</v>
      </c>
      <c r="Z247">
        <v>126.6</v>
      </c>
      <c r="AA247">
        <v>142.1</v>
      </c>
      <c r="AB247">
        <v>155.5</v>
      </c>
      <c r="AC247">
        <v>140.30000000000001</v>
      </c>
      <c r="AD247">
        <v>141.30000000000001</v>
      </c>
      <c r="AE247">
        <v>148.6</v>
      </c>
    </row>
    <row r="248" spans="1:31" x14ac:dyDescent="0.25">
      <c r="A248" t="s">
        <v>9</v>
      </c>
      <c r="B248">
        <v>2019</v>
      </c>
      <c r="C248" t="s">
        <v>24</v>
      </c>
      <c r="D248" t="str">
        <f t="shared" si="3"/>
        <v>2019DecemberRural</v>
      </c>
      <c r="E248">
        <v>142.80000000000001</v>
      </c>
      <c r="F248">
        <v>165.3</v>
      </c>
      <c r="G248">
        <v>149.5</v>
      </c>
      <c r="H248">
        <v>148.69999999999999</v>
      </c>
      <c r="I248">
        <v>127.5</v>
      </c>
      <c r="J248">
        <v>144.30000000000001</v>
      </c>
      <c r="K248">
        <v>209.5</v>
      </c>
      <c r="L248">
        <v>138.80000000000001</v>
      </c>
      <c r="M248">
        <v>113.6</v>
      </c>
      <c r="N248">
        <v>149.1</v>
      </c>
      <c r="O248">
        <v>139.30000000000001</v>
      </c>
      <c r="P248">
        <v>158.30000000000001</v>
      </c>
      <c r="Q248">
        <v>154.30000000000001</v>
      </c>
      <c r="R248">
        <v>167.8</v>
      </c>
      <c r="S248">
        <v>152.6</v>
      </c>
      <c r="T248">
        <v>147.30000000000001</v>
      </c>
      <c r="U248">
        <v>151.9</v>
      </c>
      <c r="V248" t="s">
        <v>26</v>
      </c>
      <c r="W248">
        <v>149.9</v>
      </c>
      <c r="X248">
        <v>151.19999999999999</v>
      </c>
      <c r="Y248">
        <v>154.80000000000001</v>
      </c>
      <c r="Z248">
        <v>135</v>
      </c>
      <c r="AA248">
        <v>149.5</v>
      </c>
      <c r="AB248">
        <v>161.1</v>
      </c>
      <c r="AC248">
        <v>140.6</v>
      </c>
      <c r="AD248">
        <v>147.1</v>
      </c>
      <c r="AE248">
        <v>152.30000000000001</v>
      </c>
    </row>
    <row r="249" spans="1:31" x14ac:dyDescent="0.25">
      <c r="A249" t="s">
        <v>11</v>
      </c>
      <c r="B249">
        <v>2019</v>
      </c>
      <c r="C249" t="s">
        <v>24</v>
      </c>
      <c r="D249" t="str">
        <f t="shared" si="3"/>
        <v>2019DecemberUrban</v>
      </c>
      <c r="E249">
        <v>144.9</v>
      </c>
      <c r="F249">
        <v>164.5</v>
      </c>
      <c r="G249">
        <v>153.69999999999999</v>
      </c>
      <c r="H249">
        <v>147.5</v>
      </c>
      <c r="I249">
        <v>122.7</v>
      </c>
      <c r="J249">
        <v>147.19999999999999</v>
      </c>
      <c r="K249">
        <v>231.5</v>
      </c>
      <c r="L249">
        <v>137.19999999999999</v>
      </c>
      <c r="M249">
        <v>114.7</v>
      </c>
      <c r="N249">
        <v>148</v>
      </c>
      <c r="O249">
        <v>130.80000000000001</v>
      </c>
      <c r="P249">
        <v>157.69999999999999</v>
      </c>
      <c r="Q249">
        <v>156.30000000000001</v>
      </c>
      <c r="R249">
        <v>170.4</v>
      </c>
      <c r="S249">
        <v>146.80000000000001</v>
      </c>
      <c r="T249">
        <v>132.80000000000001</v>
      </c>
      <c r="U249">
        <v>144.6</v>
      </c>
      <c r="V249">
        <v>152.80000000000001</v>
      </c>
      <c r="W249">
        <v>133.6</v>
      </c>
      <c r="X249">
        <v>139.80000000000001</v>
      </c>
      <c r="Y249">
        <v>143.19999999999999</v>
      </c>
      <c r="Z249">
        <v>125.2</v>
      </c>
      <c r="AA249">
        <v>136.80000000000001</v>
      </c>
      <c r="AB249">
        <v>151.9</v>
      </c>
      <c r="AC249">
        <v>140.19999999999999</v>
      </c>
      <c r="AD249">
        <v>137.69999999999999</v>
      </c>
      <c r="AE249">
        <v>148.30000000000001</v>
      </c>
    </row>
    <row r="250" spans="1:31" x14ac:dyDescent="0.25">
      <c r="A250" t="s">
        <v>12</v>
      </c>
      <c r="B250">
        <v>2019</v>
      </c>
      <c r="C250" t="s">
        <v>24</v>
      </c>
      <c r="D250" t="str">
        <f t="shared" si="3"/>
        <v>2019DecemberRural+Urban</v>
      </c>
      <c r="E250">
        <v>143.5</v>
      </c>
      <c r="F250">
        <v>165</v>
      </c>
      <c r="G250">
        <v>151.1</v>
      </c>
      <c r="H250">
        <v>148.30000000000001</v>
      </c>
      <c r="I250">
        <v>125.7</v>
      </c>
      <c r="J250">
        <v>145.69999999999999</v>
      </c>
      <c r="K250">
        <v>217</v>
      </c>
      <c r="L250">
        <v>138.30000000000001</v>
      </c>
      <c r="M250">
        <v>114</v>
      </c>
      <c r="N250">
        <v>148.69999999999999</v>
      </c>
      <c r="O250">
        <v>135.80000000000001</v>
      </c>
      <c r="P250">
        <v>158</v>
      </c>
      <c r="Q250">
        <v>155</v>
      </c>
      <c r="R250">
        <v>168.5</v>
      </c>
      <c r="S250">
        <v>150.30000000000001</v>
      </c>
      <c r="T250">
        <v>141.30000000000001</v>
      </c>
      <c r="U250">
        <v>149</v>
      </c>
      <c r="V250">
        <v>152.80000000000001</v>
      </c>
      <c r="W250">
        <v>143.69999999999999</v>
      </c>
      <c r="X250">
        <v>145.80000000000001</v>
      </c>
      <c r="Y250">
        <v>150.4</v>
      </c>
      <c r="Z250">
        <v>129.80000000000001</v>
      </c>
      <c r="AA250">
        <v>142.30000000000001</v>
      </c>
      <c r="AB250">
        <v>155.69999999999999</v>
      </c>
      <c r="AC250">
        <v>140.4</v>
      </c>
      <c r="AD250">
        <v>142.5</v>
      </c>
      <c r="AE250">
        <v>150.4</v>
      </c>
    </row>
    <row r="251" spans="1:31" x14ac:dyDescent="0.25">
      <c r="A251" s="4" t="s">
        <v>9</v>
      </c>
      <c r="B251" s="4">
        <v>2020</v>
      </c>
      <c r="C251" s="4" t="s">
        <v>10</v>
      </c>
      <c r="D251" s="4" t="str">
        <f t="shared" si="3"/>
        <v>2020JanuaryRural</v>
      </c>
      <c r="E251" s="4">
        <v>143.69999999999999</v>
      </c>
      <c r="F251" s="4">
        <v>167.3</v>
      </c>
      <c r="G251" s="4">
        <v>153.5</v>
      </c>
      <c r="H251" s="4">
        <v>150.5</v>
      </c>
      <c r="I251" s="4">
        <v>132</v>
      </c>
      <c r="J251" s="4">
        <v>142.19999999999999</v>
      </c>
      <c r="K251" s="4">
        <v>191.5</v>
      </c>
      <c r="L251" s="4">
        <v>141.1</v>
      </c>
      <c r="M251" s="4">
        <v>113.8</v>
      </c>
      <c r="N251" s="4">
        <v>151.6</v>
      </c>
      <c r="O251" s="4">
        <v>139.69999999999999</v>
      </c>
      <c r="P251" s="4">
        <v>158.69999999999999</v>
      </c>
      <c r="Q251" s="4">
        <v>153</v>
      </c>
      <c r="R251" s="4">
        <v>168.6</v>
      </c>
      <c r="S251" s="4">
        <v>152.80000000000001</v>
      </c>
      <c r="T251" s="4">
        <v>147.4</v>
      </c>
      <c r="U251" s="4">
        <v>152.1</v>
      </c>
      <c r="V251" s="4" t="s">
        <v>26</v>
      </c>
      <c r="W251" s="4">
        <v>150.4</v>
      </c>
      <c r="X251" s="4">
        <v>151.69999999999999</v>
      </c>
      <c r="Y251" s="4">
        <v>155.69999999999999</v>
      </c>
      <c r="Z251" s="4">
        <v>136.30000000000001</v>
      </c>
      <c r="AA251" s="4">
        <v>150.1</v>
      </c>
      <c r="AB251" s="4">
        <v>161.69999999999999</v>
      </c>
      <c r="AC251" s="4">
        <v>142.5</v>
      </c>
      <c r="AD251" s="4">
        <v>148.1</v>
      </c>
      <c r="AE251" s="4">
        <v>151.9</v>
      </c>
    </row>
    <row r="252" spans="1:31" x14ac:dyDescent="0.25">
      <c r="A252" s="4" t="s">
        <v>11</v>
      </c>
      <c r="B252" s="4">
        <v>2020</v>
      </c>
      <c r="C252" s="4" t="s">
        <v>10</v>
      </c>
      <c r="D252" s="4" t="str">
        <f t="shared" si="3"/>
        <v>2020JanuaryUrban</v>
      </c>
      <c r="E252" s="4">
        <v>145.6</v>
      </c>
      <c r="F252" s="4">
        <v>167.6</v>
      </c>
      <c r="G252" s="4">
        <v>157</v>
      </c>
      <c r="H252" s="4">
        <v>149.30000000000001</v>
      </c>
      <c r="I252" s="4">
        <v>126.3</v>
      </c>
      <c r="J252" s="4">
        <v>144.4</v>
      </c>
      <c r="K252" s="4">
        <v>207.8</v>
      </c>
      <c r="L252" s="4">
        <v>139.1</v>
      </c>
      <c r="M252" s="4">
        <v>114.8</v>
      </c>
      <c r="N252" s="4">
        <v>149.5</v>
      </c>
      <c r="O252" s="4">
        <v>131.1</v>
      </c>
      <c r="P252" s="4">
        <v>158.5</v>
      </c>
      <c r="Q252" s="4">
        <v>154.4</v>
      </c>
      <c r="R252" s="4">
        <v>170.8</v>
      </c>
      <c r="S252" s="4">
        <v>147</v>
      </c>
      <c r="T252" s="4">
        <v>133.19999999999999</v>
      </c>
      <c r="U252" s="4">
        <v>144.9</v>
      </c>
      <c r="V252" s="4">
        <v>153.9</v>
      </c>
      <c r="W252" s="4">
        <v>135.1</v>
      </c>
      <c r="X252" s="4">
        <v>140.1</v>
      </c>
      <c r="Y252" s="4">
        <v>143.80000000000001</v>
      </c>
      <c r="Z252" s="4">
        <v>126.1</v>
      </c>
      <c r="AA252" s="4">
        <v>137.19999999999999</v>
      </c>
      <c r="AB252" s="4">
        <v>152.1</v>
      </c>
      <c r="AC252" s="4">
        <v>142.1</v>
      </c>
      <c r="AD252" s="4">
        <v>138.4</v>
      </c>
      <c r="AE252" s="4">
        <v>148.19999999999999</v>
      </c>
    </row>
    <row r="253" spans="1:31" x14ac:dyDescent="0.25">
      <c r="A253" s="4" t="s">
        <v>12</v>
      </c>
      <c r="B253" s="4">
        <v>2020</v>
      </c>
      <c r="C253" s="4" t="s">
        <v>10</v>
      </c>
      <c r="D253" s="4" t="str">
        <f t="shared" si="3"/>
        <v>2020JanuaryRural+Urban</v>
      </c>
      <c r="E253" s="4">
        <v>144.30000000000001</v>
      </c>
      <c r="F253" s="4">
        <v>167.4</v>
      </c>
      <c r="G253" s="4">
        <v>154.9</v>
      </c>
      <c r="H253" s="4">
        <v>150.1</v>
      </c>
      <c r="I253" s="4">
        <v>129.9</v>
      </c>
      <c r="J253" s="4">
        <v>143.19999999999999</v>
      </c>
      <c r="K253" s="4">
        <v>197</v>
      </c>
      <c r="L253" s="4">
        <v>140.4</v>
      </c>
      <c r="M253" s="4">
        <v>114.1</v>
      </c>
      <c r="N253" s="4">
        <v>150.9</v>
      </c>
      <c r="O253" s="4">
        <v>136.1</v>
      </c>
      <c r="P253" s="4">
        <v>158.6</v>
      </c>
      <c r="Q253" s="4">
        <v>153.5</v>
      </c>
      <c r="R253" s="4">
        <v>169.2</v>
      </c>
      <c r="S253" s="4">
        <v>150.5</v>
      </c>
      <c r="T253" s="4">
        <v>141.5</v>
      </c>
      <c r="U253" s="4">
        <v>149.19999999999999</v>
      </c>
      <c r="V253" s="4">
        <v>153.9</v>
      </c>
      <c r="W253" s="4">
        <v>144.6</v>
      </c>
      <c r="X253" s="4">
        <v>146.19999999999999</v>
      </c>
      <c r="Y253" s="4">
        <v>151.19999999999999</v>
      </c>
      <c r="Z253" s="4">
        <v>130.9</v>
      </c>
      <c r="AA253" s="4">
        <v>142.80000000000001</v>
      </c>
      <c r="AB253" s="4">
        <v>156.1</v>
      </c>
      <c r="AC253" s="4">
        <v>142.30000000000001</v>
      </c>
      <c r="AD253" s="4">
        <v>143.4</v>
      </c>
      <c r="AE253" s="4">
        <v>150.19999999999999</v>
      </c>
    </row>
    <row r="254" spans="1:31" x14ac:dyDescent="0.25">
      <c r="A254" s="4" t="s">
        <v>9</v>
      </c>
      <c r="B254" s="4">
        <v>2020</v>
      </c>
      <c r="C254" s="4" t="s">
        <v>13</v>
      </c>
      <c r="D254" s="4" t="str">
        <f t="shared" si="3"/>
        <v>2020FebruaryRural</v>
      </c>
      <c r="E254" s="4">
        <v>144.19999999999999</v>
      </c>
      <c r="F254" s="4">
        <v>167.5</v>
      </c>
      <c r="G254" s="4">
        <v>150.9</v>
      </c>
      <c r="H254" s="4">
        <v>150.9</v>
      </c>
      <c r="I254" s="4">
        <v>133.69999999999999</v>
      </c>
      <c r="J254" s="4">
        <v>140.69999999999999</v>
      </c>
      <c r="K254" s="4">
        <v>165.1</v>
      </c>
      <c r="L254" s="4">
        <v>141.80000000000001</v>
      </c>
      <c r="M254" s="4">
        <v>113.1</v>
      </c>
      <c r="N254" s="4">
        <v>152.80000000000001</v>
      </c>
      <c r="O254" s="4">
        <v>140.1</v>
      </c>
      <c r="P254" s="4">
        <v>159.19999999999999</v>
      </c>
      <c r="Q254" s="4">
        <v>149.80000000000001</v>
      </c>
      <c r="R254" s="4">
        <v>169.4</v>
      </c>
      <c r="S254" s="4">
        <v>153</v>
      </c>
      <c r="T254" s="4">
        <v>147.5</v>
      </c>
      <c r="U254" s="4">
        <v>152.30000000000001</v>
      </c>
      <c r="V254" s="4" t="s">
        <v>26</v>
      </c>
      <c r="W254" s="4">
        <v>152.30000000000001</v>
      </c>
      <c r="X254" s="4">
        <v>151.80000000000001</v>
      </c>
      <c r="Y254" s="4">
        <v>156.19999999999999</v>
      </c>
      <c r="Z254" s="4">
        <v>136</v>
      </c>
      <c r="AA254" s="4">
        <v>150.4</v>
      </c>
      <c r="AB254" s="4">
        <v>161.9</v>
      </c>
      <c r="AC254" s="4">
        <v>143.4</v>
      </c>
      <c r="AD254" s="4">
        <v>148.4</v>
      </c>
      <c r="AE254" s="4">
        <v>150.4</v>
      </c>
    </row>
    <row r="255" spans="1:31" x14ac:dyDescent="0.25">
      <c r="A255" s="4" t="s">
        <v>11</v>
      </c>
      <c r="B255" s="4">
        <v>2020</v>
      </c>
      <c r="C255" s="4" t="s">
        <v>13</v>
      </c>
      <c r="D255" s="4" t="str">
        <f t="shared" si="3"/>
        <v>2020FebruaryUrban</v>
      </c>
      <c r="E255" s="4">
        <v>146.19999999999999</v>
      </c>
      <c r="F255" s="4">
        <v>167.6</v>
      </c>
      <c r="G255" s="4">
        <v>153.1</v>
      </c>
      <c r="H255" s="4">
        <v>150.69999999999999</v>
      </c>
      <c r="I255" s="4">
        <v>127.4</v>
      </c>
      <c r="J255" s="4">
        <v>143.1</v>
      </c>
      <c r="K255" s="4">
        <v>181.7</v>
      </c>
      <c r="L255" s="4">
        <v>139.6</v>
      </c>
      <c r="M255" s="4">
        <v>114.6</v>
      </c>
      <c r="N255" s="4">
        <v>150.4</v>
      </c>
      <c r="O255" s="4">
        <v>131.5</v>
      </c>
      <c r="P255" s="4">
        <v>159</v>
      </c>
      <c r="Q255" s="4">
        <v>151.69999999999999</v>
      </c>
      <c r="R255" s="4">
        <v>172</v>
      </c>
      <c r="S255" s="4">
        <v>147.30000000000001</v>
      </c>
      <c r="T255" s="4">
        <v>133.5</v>
      </c>
      <c r="U255" s="4">
        <v>145.19999999999999</v>
      </c>
      <c r="V255" s="4">
        <v>154.80000000000001</v>
      </c>
      <c r="W255" s="4">
        <v>138.9</v>
      </c>
      <c r="X255" s="4">
        <v>140.4</v>
      </c>
      <c r="Y255" s="4">
        <v>144.4</v>
      </c>
      <c r="Z255" s="4">
        <v>125.2</v>
      </c>
      <c r="AA255" s="4">
        <v>137.69999999999999</v>
      </c>
      <c r="AB255" s="4">
        <v>152.19999999999999</v>
      </c>
      <c r="AC255" s="4">
        <v>143.5</v>
      </c>
      <c r="AD255" s="4">
        <v>138.4</v>
      </c>
      <c r="AE255" s="4">
        <v>147.69999999999999</v>
      </c>
    </row>
    <row r="256" spans="1:31" x14ac:dyDescent="0.25">
      <c r="A256" s="4" t="s">
        <v>12</v>
      </c>
      <c r="B256" s="4">
        <v>2020</v>
      </c>
      <c r="C256" s="4" t="s">
        <v>13</v>
      </c>
      <c r="D256" s="4" t="str">
        <f t="shared" si="3"/>
        <v>2020FebruaryRural+Urban</v>
      </c>
      <c r="E256" s="4">
        <v>144.80000000000001</v>
      </c>
      <c r="F256" s="4">
        <v>167.5</v>
      </c>
      <c r="G256" s="4">
        <v>151.80000000000001</v>
      </c>
      <c r="H256" s="4">
        <v>150.80000000000001</v>
      </c>
      <c r="I256" s="4">
        <v>131.4</v>
      </c>
      <c r="J256" s="4">
        <v>141.80000000000001</v>
      </c>
      <c r="K256" s="4">
        <v>170.7</v>
      </c>
      <c r="L256" s="4">
        <v>141.1</v>
      </c>
      <c r="M256" s="4">
        <v>113.6</v>
      </c>
      <c r="N256" s="4">
        <v>152</v>
      </c>
      <c r="O256" s="4">
        <v>136.5</v>
      </c>
      <c r="P256" s="4">
        <v>159.1</v>
      </c>
      <c r="Q256" s="4">
        <v>150.5</v>
      </c>
      <c r="R256" s="4">
        <v>170.1</v>
      </c>
      <c r="S256" s="4">
        <v>150.80000000000001</v>
      </c>
      <c r="T256" s="4">
        <v>141.69999999999999</v>
      </c>
      <c r="U256" s="4">
        <v>149.5</v>
      </c>
      <c r="V256" s="4">
        <v>154.80000000000001</v>
      </c>
      <c r="W256" s="4">
        <v>147.19999999999999</v>
      </c>
      <c r="X256" s="4">
        <v>146.4</v>
      </c>
      <c r="Y256" s="4">
        <v>151.69999999999999</v>
      </c>
      <c r="Z256" s="4">
        <v>130.30000000000001</v>
      </c>
      <c r="AA256" s="4">
        <v>143.19999999999999</v>
      </c>
      <c r="AB256" s="4">
        <v>156.19999999999999</v>
      </c>
      <c r="AC256" s="4">
        <v>143.4</v>
      </c>
      <c r="AD256" s="4">
        <v>143.6</v>
      </c>
      <c r="AE256" s="4">
        <v>149.1</v>
      </c>
    </row>
    <row r="257" spans="1:31" x14ac:dyDescent="0.25">
      <c r="A257" s="4" t="s">
        <v>9</v>
      </c>
      <c r="B257" s="4">
        <v>2020</v>
      </c>
      <c r="C257" s="4" t="s">
        <v>15</v>
      </c>
      <c r="D257" s="4" t="str">
        <f t="shared" si="3"/>
        <v>2020MarchRural</v>
      </c>
      <c r="E257" s="4">
        <v>144.4</v>
      </c>
      <c r="F257" s="4">
        <v>166.8</v>
      </c>
      <c r="G257" s="4">
        <v>147.6</v>
      </c>
      <c r="H257" s="4">
        <v>151.69999999999999</v>
      </c>
      <c r="I257" s="4">
        <v>133.30000000000001</v>
      </c>
      <c r="J257" s="4">
        <v>141.80000000000001</v>
      </c>
      <c r="K257" s="4">
        <v>152.30000000000001</v>
      </c>
      <c r="L257" s="4">
        <v>141.80000000000001</v>
      </c>
      <c r="M257" s="4">
        <v>112.6</v>
      </c>
      <c r="N257" s="4">
        <v>154</v>
      </c>
      <c r="O257" s="4">
        <v>140.1</v>
      </c>
      <c r="P257" s="4">
        <v>160</v>
      </c>
      <c r="Q257" s="4">
        <v>148.19999999999999</v>
      </c>
      <c r="R257" s="4">
        <v>170.5</v>
      </c>
      <c r="S257" s="4">
        <v>153.4</v>
      </c>
      <c r="T257" s="4">
        <v>147.6</v>
      </c>
      <c r="U257" s="4">
        <v>152.5</v>
      </c>
      <c r="V257" s="4" t="s">
        <v>26</v>
      </c>
      <c r="W257" s="4">
        <v>153.4</v>
      </c>
      <c r="X257" s="4">
        <v>151.5</v>
      </c>
      <c r="Y257" s="4">
        <v>156.69999999999999</v>
      </c>
      <c r="Z257" s="4">
        <v>135.80000000000001</v>
      </c>
      <c r="AA257" s="4">
        <v>151.19999999999999</v>
      </c>
      <c r="AB257" s="4">
        <v>161.19999999999999</v>
      </c>
      <c r="AC257" s="4">
        <v>145.1</v>
      </c>
      <c r="AD257" s="4">
        <v>148.6</v>
      </c>
      <c r="AE257" s="4">
        <v>149.80000000000001</v>
      </c>
    </row>
    <row r="258" spans="1:31" x14ac:dyDescent="0.25">
      <c r="A258" s="4" t="s">
        <v>11</v>
      </c>
      <c r="B258" s="4">
        <v>2020</v>
      </c>
      <c r="C258" s="4" t="s">
        <v>15</v>
      </c>
      <c r="D258" s="4" t="str">
        <f t="shared" si="3"/>
        <v>2020MarchUrban</v>
      </c>
      <c r="E258" s="4">
        <v>146.5</v>
      </c>
      <c r="F258" s="4">
        <v>167.5</v>
      </c>
      <c r="G258" s="4">
        <v>148.9</v>
      </c>
      <c r="H258" s="4">
        <v>151.1</v>
      </c>
      <c r="I258" s="4">
        <v>127.5</v>
      </c>
      <c r="J258" s="4">
        <v>143.30000000000001</v>
      </c>
      <c r="K258" s="4">
        <v>167</v>
      </c>
      <c r="L258" s="4">
        <v>139.69999999999999</v>
      </c>
      <c r="M258" s="4">
        <v>114.4</v>
      </c>
      <c r="N258" s="4">
        <v>151.5</v>
      </c>
      <c r="O258" s="4">
        <v>131.9</v>
      </c>
      <c r="P258" s="4">
        <v>159.1</v>
      </c>
      <c r="Q258" s="4">
        <v>150.1</v>
      </c>
      <c r="R258" s="4">
        <v>173.3</v>
      </c>
      <c r="S258" s="4">
        <v>147.69999999999999</v>
      </c>
      <c r="T258" s="4">
        <v>133.80000000000001</v>
      </c>
      <c r="U258" s="4">
        <v>145.6</v>
      </c>
      <c r="V258" s="4">
        <v>154.5</v>
      </c>
      <c r="W258" s="4">
        <v>141.4</v>
      </c>
      <c r="X258" s="4">
        <v>140.80000000000001</v>
      </c>
      <c r="Y258" s="4">
        <v>145</v>
      </c>
      <c r="Z258" s="4">
        <v>124.6</v>
      </c>
      <c r="AA258" s="4">
        <v>137.9</v>
      </c>
      <c r="AB258" s="4">
        <v>152.5</v>
      </c>
      <c r="AC258" s="4">
        <v>145.30000000000001</v>
      </c>
      <c r="AD258" s="4">
        <v>138.69999999999999</v>
      </c>
      <c r="AE258" s="4">
        <v>147.30000000000001</v>
      </c>
    </row>
    <row r="259" spans="1:31" x14ac:dyDescent="0.25">
      <c r="A259" s="4" t="s">
        <v>12</v>
      </c>
      <c r="B259" s="4">
        <v>2020</v>
      </c>
      <c r="C259" s="4" t="s">
        <v>15</v>
      </c>
      <c r="D259" s="4" t="str">
        <f t="shared" ref="D259:D322" si="4">B259&amp;C259&amp;A259</f>
        <v>2020MarchRural+Urban</v>
      </c>
      <c r="E259" s="4">
        <v>145.1</v>
      </c>
      <c r="F259" s="4">
        <v>167</v>
      </c>
      <c r="G259" s="4">
        <v>148.1</v>
      </c>
      <c r="H259" s="4">
        <v>151.5</v>
      </c>
      <c r="I259" s="4">
        <v>131.19999999999999</v>
      </c>
      <c r="J259" s="4">
        <v>142.5</v>
      </c>
      <c r="K259" s="4">
        <v>157.30000000000001</v>
      </c>
      <c r="L259" s="4">
        <v>141.1</v>
      </c>
      <c r="M259" s="4">
        <v>113.2</v>
      </c>
      <c r="N259" s="4">
        <v>153.19999999999999</v>
      </c>
      <c r="O259" s="4">
        <v>136.69999999999999</v>
      </c>
      <c r="P259" s="4">
        <v>159.6</v>
      </c>
      <c r="Q259" s="4">
        <v>148.9</v>
      </c>
      <c r="R259" s="4">
        <v>171.2</v>
      </c>
      <c r="S259" s="4">
        <v>151.19999999999999</v>
      </c>
      <c r="T259" s="4">
        <v>141.9</v>
      </c>
      <c r="U259" s="4">
        <v>149.80000000000001</v>
      </c>
      <c r="V259" s="4">
        <v>154.5</v>
      </c>
      <c r="W259" s="4">
        <v>148.9</v>
      </c>
      <c r="X259" s="4">
        <v>146.4</v>
      </c>
      <c r="Y259" s="4">
        <v>152.30000000000001</v>
      </c>
      <c r="Z259" s="4">
        <v>129.9</v>
      </c>
      <c r="AA259" s="4">
        <v>143.69999999999999</v>
      </c>
      <c r="AB259" s="4">
        <v>156.1</v>
      </c>
      <c r="AC259" s="4">
        <v>145.19999999999999</v>
      </c>
      <c r="AD259" s="4">
        <v>143.80000000000001</v>
      </c>
      <c r="AE259" s="4">
        <v>148.6</v>
      </c>
    </row>
    <row r="260" spans="1:31" x14ac:dyDescent="0.25">
      <c r="A260" s="4" t="s">
        <v>9</v>
      </c>
      <c r="B260" s="4">
        <v>2020</v>
      </c>
      <c r="C260" s="4" t="s">
        <v>16</v>
      </c>
      <c r="D260" s="4" t="str">
        <f t="shared" si="4"/>
        <v>2020AprilRural</v>
      </c>
      <c r="E260" s="4">
        <v>147.19999999999999</v>
      </c>
      <c r="F260" s="4" t="s">
        <v>26</v>
      </c>
      <c r="G260" s="4">
        <v>146.9</v>
      </c>
      <c r="H260" s="4">
        <v>155.6</v>
      </c>
      <c r="I260" s="4">
        <v>137.1</v>
      </c>
      <c r="J260" s="4">
        <v>147.30000000000001</v>
      </c>
      <c r="K260" s="4">
        <v>162.69999999999999</v>
      </c>
      <c r="L260" s="4">
        <v>150.19999999999999</v>
      </c>
      <c r="M260" s="4">
        <v>119.8</v>
      </c>
      <c r="N260" s="4">
        <v>158.69999999999999</v>
      </c>
      <c r="O260" s="4">
        <v>139.19999999999999</v>
      </c>
      <c r="P260" s="4" t="s">
        <v>26</v>
      </c>
      <c r="Q260" s="4">
        <v>150.1</v>
      </c>
      <c r="R260" s="4" t="s">
        <v>26</v>
      </c>
      <c r="S260" s="4" t="s">
        <v>26</v>
      </c>
      <c r="T260" s="4" t="s">
        <v>26</v>
      </c>
      <c r="U260" s="4" t="s">
        <v>26</v>
      </c>
      <c r="V260" s="4" t="s">
        <v>26</v>
      </c>
      <c r="W260" s="4">
        <v>148.4</v>
      </c>
      <c r="X260" s="4" t="s">
        <v>26</v>
      </c>
      <c r="Y260" s="4">
        <v>154.30000000000001</v>
      </c>
      <c r="Z260" s="4" t="s">
        <v>26</v>
      </c>
      <c r="AA260" s="4" t="s">
        <v>26</v>
      </c>
      <c r="AB260" s="4" t="s">
        <v>26</v>
      </c>
      <c r="AC260" s="4" t="s">
        <v>26</v>
      </c>
      <c r="AD260" s="4" t="s">
        <v>26</v>
      </c>
      <c r="AE260" s="4" t="s">
        <v>26</v>
      </c>
    </row>
    <row r="261" spans="1:31" x14ac:dyDescent="0.25">
      <c r="A261" s="4" t="s">
        <v>11</v>
      </c>
      <c r="B261" s="4">
        <v>2020</v>
      </c>
      <c r="C261" s="4" t="s">
        <v>16</v>
      </c>
      <c r="D261" s="4" t="str">
        <f t="shared" si="4"/>
        <v>2020AprilUrban</v>
      </c>
      <c r="E261" s="4">
        <v>151.80000000000001</v>
      </c>
      <c r="F261" s="4" t="s">
        <v>26</v>
      </c>
      <c r="G261" s="4">
        <v>151.9</v>
      </c>
      <c r="H261" s="4">
        <v>155.5</v>
      </c>
      <c r="I261" s="4">
        <v>131.6</v>
      </c>
      <c r="J261" s="4">
        <v>152.9</v>
      </c>
      <c r="K261" s="4">
        <v>180</v>
      </c>
      <c r="L261" s="4">
        <v>150.80000000000001</v>
      </c>
      <c r="M261" s="4">
        <v>121.2</v>
      </c>
      <c r="N261" s="4">
        <v>154</v>
      </c>
      <c r="O261" s="4">
        <v>133.5</v>
      </c>
      <c r="P261" s="4" t="s">
        <v>26</v>
      </c>
      <c r="Q261" s="4">
        <v>153.5</v>
      </c>
      <c r="R261" s="4" t="s">
        <v>26</v>
      </c>
      <c r="S261" s="4" t="s">
        <v>26</v>
      </c>
      <c r="T261" s="4" t="s">
        <v>26</v>
      </c>
      <c r="U261" s="4" t="s">
        <v>26</v>
      </c>
      <c r="V261" s="4">
        <v>155.6</v>
      </c>
      <c r="W261" s="4">
        <v>137.1</v>
      </c>
      <c r="X261" s="4" t="s">
        <v>26</v>
      </c>
      <c r="Y261" s="4">
        <v>144.80000000000001</v>
      </c>
      <c r="Z261" s="4" t="s">
        <v>26</v>
      </c>
      <c r="AA261" s="4" t="s">
        <v>26</v>
      </c>
      <c r="AB261" s="4" t="s">
        <v>26</v>
      </c>
      <c r="AC261" s="4" t="s">
        <v>26</v>
      </c>
      <c r="AD261" s="4" t="s">
        <v>26</v>
      </c>
      <c r="AE261" s="4" t="s">
        <v>26</v>
      </c>
    </row>
    <row r="262" spans="1:31" x14ac:dyDescent="0.25">
      <c r="A262" s="4" t="s">
        <v>12</v>
      </c>
      <c r="B262" s="4">
        <v>2020</v>
      </c>
      <c r="C262" s="4" t="s">
        <v>16</v>
      </c>
      <c r="D262" s="4" t="str">
        <f t="shared" si="4"/>
        <v>2020AprilRural+Urban</v>
      </c>
      <c r="E262" s="4">
        <v>148.69999999999999</v>
      </c>
      <c r="F262" s="4" t="s">
        <v>26</v>
      </c>
      <c r="G262" s="4">
        <v>148.80000000000001</v>
      </c>
      <c r="H262" s="4">
        <v>155.6</v>
      </c>
      <c r="I262" s="4">
        <v>135.1</v>
      </c>
      <c r="J262" s="4">
        <v>149.9</v>
      </c>
      <c r="K262" s="4">
        <v>168.6</v>
      </c>
      <c r="L262" s="4">
        <v>150.4</v>
      </c>
      <c r="M262" s="4">
        <v>120.3</v>
      </c>
      <c r="N262" s="4">
        <v>157.1</v>
      </c>
      <c r="O262" s="4">
        <v>136.80000000000001</v>
      </c>
      <c r="P262" s="4" t="s">
        <v>26</v>
      </c>
      <c r="Q262" s="4">
        <v>151.4</v>
      </c>
      <c r="R262" s="4" t="s">
        <v>26</v>
      </c>
      <c r="S262" s="4" t="s">
        <v>26</v>
      </c>
      <c r="T262" s="4" t="s">
        <v>26</v>
      </c>
      <c r="U262" s="4" t="s">
        <v>26</v>
      </c>
      <c r="V262" s="4">
        <v>155.6</v>
      </c>
      <c r="W262" s="4">
        <v>144.1</v>
      </c>
      <c r="X262" s="4" t="s">
        <v>26</v>
      </c>
      <c r="Y262" s="4">
        <v>150.69999999999999</v>
      </c>
      <c r="Z262" s="4" t="s">
        <v>26</v>
      </c>
      <c r="AA262" s="4" t="s">
        <v>26</v>
      </c>
      <c r="AB262" s="4" t="s">
        <v>26</v>
      </c>
      <c r="AC262" s="4" t="s">
        <v>26</v>
      </c>
      <c r="AD262" s="4" t="s">
        <v>26</v>
      </c>
      <c r="AE262" s="4" t="s">
        <v>26</v>
      </c>
    </row>
    <row r="263" spans="1:31" x14ac:dyDescent="0.25">
      <c r="A263" s="4" t="s">
        <v>9</v>
      </c>
      <c r="B263" s="4">
        <v>2020</v>
      </c>
      <c r="C263" s="4" t="s">
        <v>14</v>
      </c>
      <c r="D263" s="4" t="str">
        <f t="shared" si="4"/>
        <v>2020MayRural</v>
      </c>
      <c r="E263" s="4" t="s">
        <v>26</v>
      </c>
      <c r="F263" s="4" t="s">
        <v>26</v>
      </c>
      <c r="G263" s="4" t="s">
        <v>26</v>
      </c>
      <c r="H263" s="4" t="s">
        <v>26</v>
      </c>
      <c r="I263" s="4" t="s">
        <v>26</v>
      </c>
      <c r="J263" s="4" t="s">
        <v>26</v>
      </c>
      <c r="K263" s="4" t="s">
        <v>26</v>
      </c>
      <c r="L263" s="4" t="s">
        <v>26</v>
      </c>
      <c r="M263" s="4" t="s">
        <v>26</v>
      </c>
      <c r="N263" s="4" t="s">
        <v>26</v>
      </c>
      <c r="O263" s="4" t="s">
        <v>26</v>
      </c>
      <c r="P263" s="4" t="s">
        <v>26</v>
      </c>
      <c r="Q263" s="4" t="s">
        <v>26</v>
      </c>
      <c r="R263" s="4" t="s">
        <v>26</v>
      </c>
      <c r="S263" s="4" t="s">
        <v>26</v>
      </c>
      <c r="T263" s="4" t="s">
        <v>26</v>
      </c>
      <c r="U263" s="4" t="s">
        <v>26</v>
      </c>
      <c r="V263" s="4" t="s">
        <v>26</v>
      </c>
      <c r="W263" s="4" t="s">
        <v>26</v>
      </c>
      <c r="X263" s="4" t="s">
        <v>26</v>
      </c>
      <c r="Y263" s="4" t="s">
        <v>26</v>
      </c>
      <c r="Z263" s="4" t="s">
        <v>26</v>
      </c>
      <c r="AA263" s="4" t="s">
        <v>26</v>
      </c>
      <c r="AB263" s="4" t="s">
        <v>26</v>
      </c>
      <c r="AC263" s="4" t="s">
        <v>26</v>
      </c>
      <c r="AD263" s="4" t="s">
        <v>26</v>
      </c>
      <c r="AE263" s="4" t="s">
        <v>26</v>
      </c>
    </row>
    <row r="264" spans="1:31" x14ac:dyDescent="0.25">
      <c r="A264" s="4" t="s">
        <v>11</v>
      </c>
      <c r="B264" s="4">
        <v>2020</v>
      </c>
      <c r="C264" s="4" t="s">
        <v>14</v>
      </c>
      <c r="D264" s="4" t="str">
        <f t="shared" si="4"/>
        <v>2020MayUrban</v>
      </c>
      <c r="E264" s="4" t="s">
        <v>26</v>
      </c>
      <c r="F264" s="4" t="s">
        <v>26</v>
      </c>
      <c r="G264" s="4" t="s">
        <v>26</v>
      </c>
      <c r="H264" s="4" t="s">
        <v>26</v>
      </c>
      <c r="I264" s="4" t="s">
        <v>26</v>
      </c>
      <c r="J264" s="4" t="s">
        <v>26</v>
      </c>
      <c r="K264" s="4" t="s">
        <v>26</v>
      </c>
      <c r="L264" s="4" t="s">
        <v>26</v>
      </c>
      <c r="M264" s="4" t="s">
        <v>26</v>
      </c>
      <c r="N264" s="4" t="s">
        <v>26</v>
      </c>
      <c r="O264" s="4" t="s">
        <v>26</v>
      </c>
      <c r="P264" s="4" t="s">
        <v>26</v>
      </c>
      <c r="Q264" s="4" t="s">
        <v>26</v>
      </c>
      <c r="R264" s="4" t="s">
        <v>26</v>
      </c>
      <c r="S264" s="4" t="s">
        <v>26</v>
      </c>
      <c r="T264" s="4" t="s">
        <v>26</v>
      </c>
      <c r="U264" s="4" t="s">
        <v>26</v>
      </c>
      <c r="V264" s="4" t="s">
        <v>26</v>
      </c>
      <c r="W264" s="4" t="s">
        <v>26</v>
      </c>
      <c r="X264" s="4" t="s">
        <v>26</v>
      </c>
      <c r="Y264" s="4" t="s">
        <v>26</v>
      </c>
      <c r="Z264" s="4" t="s">
        <v>26</v>
      </c>
      <c r="AA264" s="4" t="s">
        <v>26</v>
      </c>
      <c r="AB264" s="4" t="s">
        <v>26</v>
      </c>
      <c r="AC264" s="4" t="s">
        <v>26</v>
      </c>
      <c r="AD264" s="4" t="s">
        <v>26</v>
      </c>
      <c r="AE264" s="4" t="s">
        <v>26</v>
      </c>
    </row>
    <row r="265" spans="1:31" x14ac:dyDescent="0.25">
      <c r="A265" s="4" t="s">
        <v>12</v>
      </c>
      <c r="B265" s="4">
        <v>2020</v>
      </c>
      <c r="C265" s="4" t="s">
        <v>14</v>
      </c>
      <c r="D265" s="4" t="str">
        <f t="shared" si="4"/>
        <v>2020MayRural+Urban</v>
      </c>
      <c r="E265" s="4" t="s">
        <v>26</v>
      </c>
      <c r="F265" s="4" t="s">
        <v>26</v>
      </c>
      <c r="G265" s="4" t="s">
        <v>26</v>
      </c>
      <c r="H265" s="4" t="s">
        <v>26</v>
      </c>
      <c r="I265" s="4" t="s">
        <v>26</v>
      </c>
      <c r="J265" s="4" t="s">
        <v>26</v>
      </c>
      <c r="K265" s="4" t="s">
        <v>26</v>
      </c>
      <c r="L265" s="4" t="s">
        <v>26</v>
      </c>
      <c r="M265" s="4" t="s">
        <v>26</v>
      </c>
      <c r="N265" s="4" t="s">
        <v>26</v>
      </c>
      <c r="O265" s="4" t="s">
        <v>26</v>
      </c>
      <c r="P265" s="4" t="s">
        <v>26</v>
      </c>
      <c r="Q265" s="4" t="s">
        <v>26</v>
      </c>
      <c r="R265" s="4" t="s">
        <v>26</v>
      </c>
      <c r="S265" s="4" t="s">
        <v>26</v>
      </c>
      <c r="T265" s="4" t="s">
        <v>26</v>
      </c>
      <c r="U265" s="4" t="s">
        <v>26</v>
      </c>
      <c r="V265" s="4" t="s">
        <v>26</v>
      </c>
      <c r="W265" s="4" t="s">
        <v>26</v>
      </c>
      <c r="X265" s="4" t="s">
        <v>26</v>
      </c>
      <c r="Y265" s="4" t="s">
        <v>26</v>
      </c>
      <c r="Z265" s="4" t="s">
        <v>26</v>
      </c>
      <c r="AA265" s="4" t="s">
        <v>26</v>
      </c>
      <c r="AB265" s="4" t="s">
        <v>26</v>
      </c>
      <c r="AC265" s="4" t="s">
        <v>26</v>
      </c>
      <c r="AD265" s="4" t="s">
        <v>26</v>
      </c>
      <c r="AE265" s="4" t="s">
        <v>26</v>
      </c>
    </row>
    <row r="266" spans="1:31" x14ac:dyDescent="0.25">
      <c r="A266" s="4" t="s">
        <v>9</v>
      </c>
      <c r="B266" s="4">
        <v>2020</v>
      </c>
      <c r="C266" s="4" t="s">
        <v>17</v>
      </c>
      <c r="D266" s="4" t="str">
        <f t="shared" si="4"/>
        <v>2020JuneRural</v>
      </c>
      <c r="E266" s="4">
        <v>148.19999999999999</v>
      </c>
      <c r="F266" s="4">
        <v>190.3</v>
      </c>
      <c r="G266" s="4">
        <v>149.4</v>
      </c>
      <c r="H266" s="4">
        <v>153.30000000000001</v>
      </c>
      <c r="I266" s="4">
        <v>138.19999999999999</v>
      </c>
      <c r="J266" s="4">
        <v>143.19999999999999</v>
      </c>
      <c r="K266" s="4">
        <v>148.9</v>
      </c>
      <c r="L266" s="4">
        <v>150.30000000000001</v>
      </c>
      <c r="M266" s="4">
        <v>113.2</v>
      </c>
      <c r="N266" s="4">
        <v>159.80000000000001</v>
      </c>
      <c r="O266" s="4">
        <v>142.1</v>
      </c>
      <c r="P266" s="4">
        <v>161.80000000000001</v>
      </c>
      <c r="Q266" s="4">
        <v>152.30000000000001</v>
      </c>
      <c r="R266" s="4">
        <v>182.4</v>
      </c>
      <c r="S266" s="4">
        <v>154.69999999999999</v>
      </c>
      <c r="T266" s="4">
        <v>150</v>
      </c>
      <c r="U266" s="4">
        <v>154.1</v>
      </c>
      <c r="V266" s="4" t="s">
        <v>26</v>
      </c>
      <c r="W266" s="4">
        <v>144.9</v>
      </c>
      <c r="X266" s="4">
        <v>151.69999999999999</v>
      </c>
      <c r="Y266" s="4">
        <v>158.19999999999999</v>
      </c>
      <c r="Z266" s="4">
        <v>141.4</v>
      </c>
      <c r="AA266" s="4">
        <v>153.19999999999999</v>
      </c>
      <c r="AB266" s="4">
        <v>161.80000000000001</v>
      </c>
      <c r="AC266" s="4">
        <v>151.19999999999999</v>
      </c>
      <c r="AD266" s="4">
        <v>151.69999999999999</v>
      </c>
      <c r="AE266" s="4">
        <v>152.69999999999999</v>
      </c>
    </row>
    <row r="267" spans="1:31" x14ac:dyDescent="0.25">
      <c r="A267" s="4" t="s">
        <v>11</v>
      </c>
      <c r="B267" s="4">
        <v>2020</v>
      </c>
      <c r="C267" s="4" t="s">
        <v>17</v>
      </c>
      <c r="D267" s="4" t="str">
        <f t="shared" si="4"/>
        <v>2020JuneUrban</v>
      </c>
      <c r="E267" s="4">
        <v>152.69999999999999</v>
      </c>
      <c r="F267" s="4">
        <v>197</v>
      </c>
      <c r="G267" s="4">
        <v>154.6</v>
      </c>
      <c r="H267" s="4">
        <v>153.4</v>
      </c>
      <c r="I267" s="4">
        <v>132.9</v>
      </c>
      <c r="J267" s="4">
        <v>151.80000000000001</v>
      </c>
      <c r="K267" s="4">
        <v>171.2</v>
      </c>
      <c r="L267" s="4">
        <v>152</v>
      </c>
      <c r="M267" s="4">
        <v>116.3</v>
      </c>
      <c r="N267" s="4">
        <v>158.80000000000001</v>
      </c>
      <c r="O267" s="4">
        <v>135.6</v>
      </c>
      <c r="P267" s="4">
        <v>161.69999999999999</v>
      </c>
      <c r="Q267" s="4">
        <v>157</v>
      </c>
      <c r="R267" s="4">
        <v>186.7</v>
      </c>
      <c r="S267" s="4">
        <v>149.1</v>
      </c>
      <c r="T267" s="4">
        <v>136.6</v>
      </c>
      <c r="U267" s="4">
        <v>147.19999999999999</v>
      </c>
      <c r="V267" s="4">
        <v>154.69999999999999</v>
      </c>
      <c r="W267" s="4">
        <v>137.1</v>
      </c>
      <c r="X267" s="4">
        <v>140.4</v>
      </c>
      <c r="Y267" s="4">
        <v>148.1</v>
      </c>
      <c r="Z267" s="4">
        <v>129.30000000000001</v>
      </c>
      <c r="AA267" s="4">
        <v>144.5</v>
      </c>
      <c r="AB267" s="4">
        <v>152.5</v>
      </c>
      <c r="AC267" s="4">
        <v>152.19999999999999</v>
      </c>
      <c r="AD267" s="4">
        <v>142</v>
      </c>
      <c r="AE267" s="4">
        <v>150.80000000000001</v>
      </c>
    </row>
    <row r="268" spans="1:31" x14ac:dyDescent="0.25">
      <c r="A268" s="4" t="s">
        <v>12</v>
      </c>
      <c r="B268" s="4">
        <v>2020</v>
      </c>
      <c r="C268" s="4" t="s">
        <v>17</v>
      </c>
      <c r="D268" s="4" t="str">
        <f t="shared" si="4"/>
        <v>2020JuneRural+Urban</v>
      </c>
      <c r="E268" s="4">
        <v>149.6</v>
      </c>
      <c r="F268" s="4">
        <v>192.7</v>
      </c>
      <c r="G268" s="4">
        <v>151.4</v>
      </c>
      <c r="H268" s="4">
        <v>153.30000000000001</v>
      </c>
      <c r="I268" s="4">
        <v>136.30000000000001</v>
      </c>
      <c r="J268" s="4">
        <v>147.19999999999999</v>
      </c>
      <c r="K268" s="4">
        <v>156.5</v>
      </c>
      <c r="L268" s="4">
        <v>150.9</v>
      </c>
      <c r="M268" s="4">
        <v>114.2</v>
      </c>
      <c r="N268" s="4">
        <v>159.5</v>
      </c>
      <c r="O268" s="4">
        <v>139.4</v>
      </c>
      <c r="P268" s="4">
        <v>161.80000000000001</v>
      </c>
      <c r="Q268" s="4">
        <v>154</v>
      </c>
      <c r="R268" s="4">
        <v>183.5</v>
      </c>
      <c r="S268" s="4">
        <v>152.5</v>
      </c>
      <c r="T268" s="4">
        <v>144.4</v>
      </c>
      <c r="U268" s="4">
        <v>151.4</v>
      </c>
      <c r="V268" s="4">
        <v>154.69999999999999</v>
      </c>
      <c r="W268" s="4">
        <v>141.9</v>
      </c>
      <c r="X268" s="4">
        <v>146.4</v>
      </c>
      <c r="Y268" s="4">
        <v>154.4</v>
      </c>
      <c r="Z268" s="4">
        <v>135</v>
      </c>
      <c r="AA268" s="4">
        <v>148.30000000000001</v>
      </c>
      <c r="AB268" s="4">
        <v>156.4</v>
      </c>
      <c r="AC268" s="4">
        <v>151.6</v>
      </c>
      <c r="AD268" s="4">
        <v>147</v>
      </c>
      <c r="AE268" s="4">
        <v>151.80000000000001</v>
      </c>
    </row>
    <row r="269" spans="1:31" x14ac:dyDescent="0.25">
      <c r="A269" s="4" t="s">
        <v>9</v>
      </c>
      <c r="B269" s="4">
        <v>2020</v>
      </c>
      <c r="C269" s="4" t="s">
        <v>18</v>
      </c>
      <c r="D269" s="4" t="str">
        <f t="shared" si="4"/>
        <v>2020JulyRural</v>
      </c>
      <c r="E269" s="4">
        <v>148.19999999999999</v>
      </c>
      <c r="F269" s="4">
        <v>190.3</v>
      </c>
      <c r="G269" s="4">
        <v>149.4</v>
      </c>
      <c r="H269" s="4">
        <v>153.30000000000001</v>
      </c>
      <c r="I269" s="4">
        <v>138.19999999999999</v>
      </c>
      <c r="J269" s="4">
        <v>143.19999999999999</v>
      </c>
      <c r="K269" s="4">
        <v>148.9</v>
      </c>
      <c r="L269" s="4">
        <v>150.30000000000001</v>
      </c>
      <c r="M269" s="4">
        <v>113.2</v>
      </c>
      <c r="N269" s="4">
        <v>159.80000000000001</v>
      </c>
      <c r="O269" s="4">
        <v>142.1</v>
      </c>
      <c r="P269" s="4">
        <v>161.80000000000001</v>
      </c>
      <c r="Q269" s="4">
        <v>152.30000000000001</v>
      </c>
      <c r="R269" s="4">
        <v>182.4</v>
      </c>
      <c r="S269" s="4">
        <v>154.69999999999999</v>
      </c>
      <c r="T269" s="4">
        <v>150</v>
      </c>
      <c r="U269" s="4">
        <v>154.1</v>
      </c>
      <c r="V269" s="4" t="s">
        <v>26</v>
      </c>
      <c r="W269" s="4">
        <v>144.9</v>
      </c>
      <c r="X269" s="4">
        <v>151.69999999999999</v>
      </c>
      <c r="Y269" s="4">
        <v>158.19999999999999</v>
      </c>
      <c r="Z269" s="4">
        <v>141.4</v>
      </c>
      <c r="AA269" s="4">
        <v>153.19999999999999</v>
      </c>
      <c r="AB269" s="4">
        <v>161.80000000000001</v>
      </c>
      <c r="AC269" s="4">
        <v>151.19999999999999</v>
      </c>
      <c r="AD269" s="4">
        <v>151.69999999999999</v>
      </c>
      <c r="AE269" s="4">
        <v>152.69999999999999</v>
      </c>
    </row>
    <row r="270" spans="1:31" x14ac:dyDescent="0.25">
      <c r="A270" s="4" t="s">
        <v>11</v>
      </c>
      <c r="B270" s="4">
        <v>2020</v>
      </c>
      <c r="C270" s="4" t="s">
        <v>18</v>
      </c>
      <c r="D270" s="4" t="str">
        <f t="shared" si="4"/>
        <v>2020JulyUrban</v>
      </c>
      <c r="E270" s="4">
        <v>152.69999999999999</v>
      </c>
      <c r="F270" s="4">
        <v>197</v>
      </c>
      <c r="G270" s="4">
        <v>154.6</v>
      </c>
      <c r="H270" s="4">
        <v>153.4</v>
      </c>
      <c r="I270" s="4">
        <v>132.9</v>
      </c>
      <c r="J270" s="4">
        <v>151.80000000000001</v>
      </c>
      <c r="K270" s="4">
        <v>171.2</v>
      </c>
      <c r="L270" s="4">
        <v>152</v>
      </c>
      <c r="M270" s="4">
        <v>116.3</v>
      </c>
      <c r="N270" s="4">
        <v>158.80000000000001</v>
      </c>
      <c r="O270" s="4">
        <v>135.6</v>
      </c>
      <c r="P270" s="4">
        <v>161.69999999999999</v>
      </c>
      <c r="Q270" s="4">
        <v>157</v>
      </c>
      <c r="R270" s="4">
        <v>186.7</v>
      </c>
      <c r="S270" s="4">
        <v>149.1</v>
      </c>
      <c r="T270" s="4">
        <v>136.6</v>
      </c>
      <c r="U270" s="4">
        <v>147.19999999999999</v>
      </c>
      <c r="V270" s="4">
        <v>154.69999999999999</v>
      </c>
      <c r="W270" s="4">
        <v>137.1</v>
      </c>
      <c r="X270" s="4">
        <v>140.4</v>
      </c>
      <c r="Y270" s="4">
        <v>148.1</v>
      </c>
      <c r="Z270" s="4">
        <v>129.30000000000001</v>
      </c>
      <c r="AA270" s="4">
        <v>144.5</v>
      </c>
      <c r="AB270" s="4">
        <v>152.5</v>
      </c>
      <c r="AC270" s="4">
        <v>152.19999999999999</v>
      </c>
      <c r="AD270" s="4">
        <v>142</v>
      </c>
      <c r="AE270" s="4">
        <v>150.80000000000001</v>
      </c>
    </row>
    <row r="271" spans="1:31" x14ac:dyDescent="0.25">
      <c r="A271" s="4" t="s">
        <v>12</v>
      </c>
      <c r="B271" s="4">
        <v>2020</v>
      </c>
      <c r="C271" s="4" t="s">
        <v>18</v>
      </c>
      <c r="D271" s="4" t="str">
        <f t="shared" si="4"/>
        <v>2020JulyRural+Urban</v>
      </c>
      <c r="E271" s="4">
        <v>149.6</v>
      </c>
      <c r="F271" s="4">
        <v>192.7</v>
      </c>
      <c r="G271" s="4">
        <v>151.4</v>
      </c>
      <c r="H271" s="4">
        <v>153.30000000000001</v>
      </c>
      <c r="I271" s="4">
        <v>136.30000000000001</v>
      </c>
      <c r="J271" s="4">
        <v>147.19999999999999</v>
      </c>
      <c r="K271" s="4">
        <v>156.5</v>
      </c>
      <c r="L271" s="4">
        <v>150.9</v>
      </c>
      <c r="M271" s="4">
        <v>114.2</v>
      </c>
      <c r="N271" s="4">
        <v>159.5</v>
      </c>
      <c r="O271" s="4">
        <v>139.4</v>
      </c>
      <c r="P271" s="4">
        <v>161.80000000000001</v>
      </c>
      <c r="Q271" s="4">
        <v>154</v>
      </c>
      <c r="R271" s="4">
        <v>183.5</v>
      </c>
      <c r="S271" s="4">
        <v>152.5</v>
      </c>
      <c r="T271" s="4">
        <v>144.4</v>
      </c>
      <c r="U271" s="4">
        <v>151.4</v>
      </c>
      <c r="V271" s="4">
        <v>154.69999999999999</v>
      </c>
      <c r="W271" s="4">
        <v>141.9</v>
      </c>
      <c r="X271" s="4">
        <v>146.4</v>
      </c>
      <c r="Y271" s="4">
        <v>154.4</v>
      </c>
      <c r="Z271" s="4">
        <v>135</v>
      </c>
      <c r="AA271" s="4">
        <v>148.30000000000001</v>
      </c>
      <c r="AB271" s="4">
        <v>156.4</v>
      </c>
      <c r="AC271" s="4">
        <v>151.6</v>
      </c>
      <c r="AD271" s="4">
        <v>147</v>
      </c>
      <c r="AE271" s="4">
        <v>151.80000000000001</v>
      </c>
    </row>
    <row r="272" spans="1:31" x14ac:dyDescent="0.25">
      <c r="A272" s="4" t="s">
        <v>9</v>
      </c>
      <c r="B272" s="4">
        <v>2020</v>
      </c>
      <c r="C272" s="4" t="s">
        <v>19</v>
      </c>
      <c r="D272" s="4" t="str">
        <f t="shared" si="4"/>
        <v>2020AugustRural</v>
      </c>
      <c r="E272" s="4">
        <v>147.6</v>
      </c>
      <c r="F272" s="4">
        <v>187.2</v>
      </c>
      <c r="G272" s="4">
        <v>148.4</v>
      </c>
      <c r="H272" s="4">
        <v>153.30000000000001</v>
      </c>
      <c r="I272" s="4">
        <v>139.80000000000001</v>
      </c>
      <c r="J272" s="4">
        <v>146.9</v>
      </c>
      <c r="K272" s="4">
        <v>171</v>
      </c>
      <c r="L272" s="4">
        <v>149.9</v>
      </c>
      <c r="M272" s="4">
        <v>114.2</v>
      </c>
      <c r="N272" s="4">
        <v>160</v>
      </c>
      <c r="O272" s="4">
        <v>143.5</v>
      </c>
      <c r="P272" s="4">
        <v>161.5</v>
      </c>
      <c r="Q272" s="4">
        <v>155.30000000000001</v>
      </c>
      <c r="R272" s="4">
        <v>180.9</v>
      </c>
      <c r="S272" s="4">
        <v>155.1</v>
      </c>
      <c r="T272" s="4">
        <v>149.30000000000001</v>
      </c>
      <c r="U272" s="4">
        <v>154.30000000000001</v>
      </c>
      <c r="V272" s="4" t="s">
        <v>26</v>
      </c>
      <c r="W272" s="4">
        <v>145.80000000000001</v>
      </c>
      <c r="X272" s="4">
        <v>151.9</v>
      </c>
      <c r="Y272" s="4">
        <v>158.80000000000001</v>
      </c>
      <c r="Z272" s="4">
        <v>143.6</v>
      </c>
      <c r="AA272" s="4">
        <v>152.19999999999999</v>
      </c>
      <c r="AB272" s="4">
        <v>162.69999999999999</v>
      </c>
      <c r="AC272" s="4">
        <v>153.6</v>
      </c>
      <c r="AD272" s="4">
        <v>153</v>
      </c>
      <c r="AE272" s="4">
        <v>154.69999999999999</v>
      </c>
    </row>
    <row r="273" spans="1:31" x14ac:dyDescent="0.25">
      <c r="A273" s="4" t="s">
        <v>11</v>
      </c>
      <c r="B273" s="4">
        <v>2020</v>
      </c>
      <c r="C273" s="4" t="s">
        <v>19</v>
      </c>
      <c r="D273" s="4" t="str">
        <f t="shared" si="4"/>
        <v>2020AugustUrban</v>
      </c>
      <c r="E273" s="4">
        <v>151.6</v>
      </c>
      <c r="F273" s="4">
        <v>197.8</v>
      </c>
      <c r="G273" s="4">
        <v>154.5</v>
      </c>
      <c r="H273" s="4">
        <v>153.4</v>
      </c>
      <c r="I273" s="4">
        <v>133.4</v>
      </c>
      <c r="J273" s="4">
        <v>154.5</v>
      </c>
      <c r="K273" s="4">
        <v>191.9</v>
      </c>
      <c r="L273" s="4">
        <v>151.30000000000001</v>
      </c>
      <c r="M273" s="4">
        <v>116.8</v>
      </c>
      <c r="N273" s="4">
        <v>160</v>
      </c>
      <c r="O273" s="4">
        <v>136.5</v>
      </c>
      <c r="P273" s="4">
        <v>163.30000000000001</v>
      </c>
      <c r="Q273" s="4">
        <v>159.9</v>
      </c>
      <c r="R273" s="4">
        <v>187.2</v>
      </c>
      <c r="S273" s="4">
        <v>150</v>
      </c>
      <c r="T273" s="4">
        <v>135.19999999999999</v>
      </c>
      <c r="U273" s="4">
        <v>147.80000000000001</v>
      </c>
      <c r="V273" s="4">
        <v>155.5</v>
      </c>
      <c r="W273" s="4">
        <v>138.30000000000001</v>
      </c>
      <c r="X273" s="4">
        <v>144.5</v>
      </c>
      <c r="Y273" s="4">
        <v>148.69999999999999</v>
      </c>
      <c r="Z273" s="4">
        <v>133.9</v>
      </c>
      <c r="AA273" s="4">
        <v>141.19999999999999</v>
      </c>
      <c r="AB273" s="4">
        <v>155.5</v>
      </c>
      <c r="AC273" s="4">
        <v>155.19999999999999</v>
      </c>
      <c r="AD273" s="4">
        <v>144.80000000000001</v>
      </c>
      <c r="AE273" s="4">
        <v>152.9</v>
      </c>
    </row>
    <row r="274" spans="1:31" x14ac:dyDescent="0.25">
      <c r="A274" s="4" t="s">
        <v>12</v>
      </c>
      <c r="B274" s="4">
        <v>2020</v>
      </c>
      <c r="C274" s="4" t="s">
        <v>19</v>
      </c>
      <c r="D274" s="4" t="str">
        <f t="shared" si="4"/>
        <v>2020AugustRural+Urban</v>
      </c>
      <c r="E274" s="4">
        <v>148.9</v>
      </c>
      <c r="F274" s="4">
        <v>190.9</v>
      </c>
      <c r="G274" s="4">
        <v>150.80000000000001</v>
      </c>
      <c r="H274" s="4">
        <v>153.30000000000001</v>
      </c>
      <c r="I274" s="4">
        <v>137.4</v>
      </c>
      <c r="J274" s="4">
        <v>150.4</v>
      </c>
      <c r="K274" s="4">
        <v>178.1</v>
      </c>
      <c r="L274" s="4">
        <v>150.4</v>
      </c>
      <c r="M274" s="4">
        <v>115.1</v>
      </c>
      <c r="N274" s="4">
        <v>160</v>
      </c>
      <c r="O274" s="4">
        <v>140.6</v>
      </c>
      <c r="P274" s="4">
        <v>162.30000000000001</v>
      </c>
      <c r="Q274" s="4">
        <v>157</v>
      </c>
      <c r="R274" s="4">
        <v>182.6</v>
      </c>
      <c r="S274" s="4">
        <v>153.1</v>
      </c>
      <c r="T274" s="4">
        <v>143.4</v>
      </c>
      <c r="U274" s="4">
        <v>151.69999999999999</v>
      </c>
      <c r="V274" s="4">
        <v>155.5</v>
      </c>
      <c r="W274" s="4">
        <v>143</v>
      </c>
      <c r="X274" s="4">
        <v>148.4</v>
      </c>
      <c r="Y274" s="4">
        <v>155</v>
      </c>
      <c r="Z274" s="4">
        <v>138.5</v>
      </c>
      <c r="AA274" s="4">
        <v>146</v>
      </c>
      <c r="AB274" s="4">
        <v>158.5</v>
      </c>
      <c r="AC274" s="4">
        <v>154.30000000000001</v>
      </c>
      <c r="AD274" s="4">
        <v>149</v>
      </c>
      <c r="AE274" s="4">
        <v>153.9</v>
      </c>
    </row>
    <row r="275" spans="1:31" x14ac:dyDescent="0.25">
      <c r="A275" s="4" t="s">
        <v>9</v>
      </c>
      <c r="B275" s="4">
        <v>2020</v>
      </c>
      <c r="C275" s="4" t="s">
        <v>20</v>
      </c>
      <c r="D275" s="4" t="str">
        <f t="shared" si="4"/>
        <v>2020SeptemberRural</v>
      </c>
      <c r="E275" s="4">
        <v>146.9</v>
      </c>
      <c r="F275" s="4">
        <v>183.9</v>
      </c>
      <c r="G275" s="4">
        <v>149.5</v>
      </c>
      <c r="H275" s="4">
        <v>153.4</v>
      </c>
      <c r="I275" s="4">
        <v>140.4</v>
      </c>
      <c r="J275" s="4">
        <v>147</v>
      </c>
      <c r="K275" s="4">
        <v>178.8</v>
      </c>
      <c r="L275" s="4">
        <v>149.30000000000001</v>
      </c>
      <c r="M275" s="4">
        <v>115.1</v>
      </c>
      <c r="N275" s="4">
        <v>160</v>
      </c>
      <c r="O275" s="4">
        <v>145.4</v>
      </c>
      <c r="P275" s="4">
        <v>161.6</v>
      </c>
      <c r="Q275" s="4">
        <v>156.1</v>
      </c>
      <c r="R275" s="4">
        <v>182.9</v>
      </c>
      <c r="S275" s="4">
        <v>155.4</v>
      </c>
      <c r="T275" s="4">
        <v>149.9</v>
      </c>
      <c r="U275" s="4">
        <v>154.6</v>
      </c>
      <c r="V275" s="4" t="s">
        <v>26</v>
      </c>
      <c r="W275" s="4">
        <v>146.4</v>
      </c>
      <c r="X275" s="4">
        <v>151.6</v>
      </c>
      <c r="Y275" s="4">
        <v>159.1</v>
      </c>
      <c r="Z275" s="4">
        <v>144.6</v>
      </c>
      <c r="AA275" s="4">
        <v>152.80000000000001</v>
      </c>
      <c r="AB275" s="4">
        <v>161.1</v>
      </c>
      <c r="AC275" s="4">
        <v>157.4</v>
      </c>
      <c r="AD275" s="4">
        <v>153.69999999999999</v>
      </c>
      <c r="AE275" s="4">
        <v>155.4</v>
      </c>
    </row>
    <row r="276" spans="1:31" x14ac:dyDescent="0.25">
      <c r="A276" s="4" t="s">
        <v>11</v>
      </c>
      <c r="B276" s="4">
        <v>2020</v>
      </c>
      <c r="C276" s="4" t="s">
        <v>20</v>
      </c>
      <c r="D276" s="4" t="str">
        <f t="shared" si="4"/>
        <v>2020SeptemberUrban</v>
      </c>
      <c r="E276" s="4">
        <v>151.5</v>
      </c>
      <c r="F276" s="4">
        <v>193.1</v>
      </c>
      <c r="G276" s="4">
        <v>157.30000000000001</v>
      </c>
      <c r="H276" s="4">
        <v>153.9</v>
      </c>
      <c r="I276" s="4">
        <v>134.4</v>
      </c>
      <c r="J276" s="4">
        <v>155.4</v>
      </c>
      <c r="K276" s="4">
        <v>202</v>
      </c>
      <c r="L276" s="4">
        <v>150.80000000000001</v>
      </c>
      <c r="M276" s="4">
        <v>118.9</v>
      </c>
      <c r="N276" s="4">
        <v>160.9</v>
      </c>
      <c r="O276" s="4">
        <v>137.69999999999999</v>
      </c>
      <c r="P276" s="4">
        <v>164.4</v>
      </c>
      <c r="Q276" s="4">
        <v>161.30000000000001</v>
      </c>
      <c r="R276" s="4">
        <v>188.7</v>
      </c>
      <c r="S276" s="4">
        <v>150.19999999999999</v>
      </c>
      <c r="T276" s="4">
        <v>136.30000000000001</v>
      </c>
      <c r="U276" s="4">
        <v>148.1</v>
      </c>
      <c r="V276" s="4">
        <v>156.30000000000001</v>
      </c>
      <c r="W276" s="4">
        <v>137.19999999999999</v>
      </c>
      <c r="X276" s="4">
        <v>145.4</v>
      </c>
      <c r="Y276" s="4">
        <v>150</v>
      </c>
      <c r="Z276" s="4">
        <v>135.1</v>
      </c>
      <c r="AA276" s="4">
        <v>141.80000000000001</v>
      </c>
      <c r="AB276" s="4">
        <v>154.9</v>
      </c>
      <c r="AC276" s="4">
        <v>159.80000000000001</v>
      </c>
      <c r="AD276" s="4">
        <v>146</v>
      </c>
      <c r="AE276" s="4">
        <v>154</v>
      </c>
    </row>
    <row r="277" spans="1:31" x14ac:dyDescent="0.25">
      <c r="A277" s="4" t="s">
        <v>12</v>
      </c>
      <c r="B277" s="4">
        <v>2020</v>
      </c>
      <c r="C277" s="4" t="s">
        <v>20</v>
      </c>
      <c r="D277" s="4" t="str">
        <f t="shared" si="4"/>
        <v>2020SeptemberRural+Urban</v>
      </c>
      <c r="E277" s="4">
        <v>148.4</v>
      </c>
      <c r="F277" s="4">
        <v>187.1</v>
      </c>
      <c r="G277" s="4">
        <v>152.5</v>
      </c>
      <c r="H277" s="4">
        <v>153.6</v>
      </c>
      <c r="I277" s="4">
        <v>138.19999999999999</v>
      </c>
      <c r="J277" s="4">
        <v>150.9</v>
      </c>
      <c r="K277" s="4">
        <v>186.7</v>
      </c>
      <c r="L277" s="4">
        <v>149.80000000000001</v>
      </c>
      <c r="M277" s="4">
        <v>116.4</v>
      </c>
      <c r="N277" s="4">
        <v>160.30000000000001</v>
      </c>
      <c r="O277" s="4">
        <v>142.19999999999999</v>
      </c>
      <c r="P277" s="4">
        <v>162.9</v>
      </c>
      <c r="Q277" s="4">
        <v>158</v>
      </c>
      <c r="R277" s="4">
        <v>184.4</v>
      </c>
      <c r="S277" s="4">
        <v>153.4</v>
      </c>
      <c r="T277" s="4">
        <v>144.30000000000001</v>
      </c>
      <c r="U277" s="4">
        <v>152</v>
      </c>
      <c r="V277" s="4">
        <v>156.30000000000001</v>
      </c>
      <c r="W277" s="4">
        <v>142.9</v>
      </c>
      <c r="X277" s="4">
        <v>148.69999999999999</v>
      </c>
      <c r="Y277" s="4">
        <v>155.6</v>
      </c>
      <c r="Z277" s="4">
        <v>139.6</v>
      </c>
      <c r="AA277" s="4">
        <v>146.6</v>
      </c>
      <c r="AB277" s="4">
        <v>157.5</v>
      </c>
      <c r="AC277" s="4">
        <v>158.4</v>
      </c>
      <c r="AD277" s="4">
        <v>150</v>
      </c>
      <c r="AE277" s="4">
        <v>154.69999999999999</v>
      </c>
    </row>
    <row r="278" spans="1:31" x14ac:dyDescent="0.25">
      <c r="A278" s="4" t="s">
        <v>9</v>
      </c>
      <c r="B278" s="4">
        <v>2020</v>
      </c>
      <c r="C278" s="4" t="s">
        <v>21</v>
      </c>
      <c r="D278" s="4" t="str">
        <f t="shared" si="4"/>
        <v>2020OctoberRural</v>
      </c>
      <c r="E278" s="4">
        <v>146</v>
      </c>
      <c r="F278" s="4">
        <v>186.3</v>
      </c>
      <c r="G278" s="4">
        <v>159.19999999999999</v>
      </c>
      <c r="H278" s="4">
        <v>153.6</v>
      </c>
      <c r="I278" s="4">
        <v>142.6</v>
      </c>
      <c r="J278" s="4">
        <v>147.19999999999999</v>
      </c>
      <c r="K278" s="4">
        <v>200.6</v>
      </c>
      <c r="L278" s="4">
        <v>150.30000000000001</v>
      </c>
      <c r="M278" s="4">
        <v>115.3</v>
      </c>
      <c r="N278" s="4">
        <v>160.9</v>
      </c>
      <c r="O278" s="4">
        <v>147.4</v>
      </c>
      <c r="P278" s="4">
        <v>161.9</v>
      </c>
      <c r="Q278" s="4">
        <v>159.6</v>
      </c>
      <c r="R278" s="4">
        <v>182.7</v>
      </c>
      <c r="S278" s="4">
        <v>155.69999999999999</v>
      </c>
      <c r="T278" s="4">
        <v>150.6</v>
      </c>
      <c r="U278" s="4">
        <v>155</v>
      </c>
      <c r="V278" s="4" t="s">
        <v>26</v>
      </c>
      <c r="W278" s="4">
        <v>146.80000000000001</v>
      </c>
      <c r="X278" s="4">
        <v>152</v>
      </c>
      <c r="Y278" s="4">
        <v>159.5</v>
      </c>
      <c r="Z278" s="4">
        <v>146.4</v>
      </c>
      <c r="AA278" s="4">
        <v>152.4</v>
      </c>
      <c r="AB278" s="4">
        <v>162.5</v>
      </c>
      <c r="AC278" s="4">
        <v>156.19999999999999</v>
      </c>
      <c r="AD278" s="4">
        <v>154.30000000000001</v>
      </c>
      <c r="AE278" s="4">
        <v>157.5</v>
      </c>
    </row>
    <row r="279" spans="1:31" x14ac:dyDescent="0.25">
      <c r="A279" s="4" t="s">
        <v>11</v>
      </c>
      <c r="B279" s="4">
        <v>2020</v>
      </c>
      <c r="C279" s="4" t="s">
        <v>21</v>
      </c>
      <c r="D279" s="4" t="str">
        <f t="shared" si="4"/>
        <v>2020OctoberUrban</v>
      </c>
      <c r="E279" s="4">
        <v>150.6</v>
      </c>
      <c r="F279" s="4">
        <v>193.7</v>
      </c>
      <c r="G279" s="4">
        <v>164.8</v>
      </c>
      <c r="H279" s="4">
        <v>153.69999999999999</v>
      </c>
      <c r="I279" s="4">
        <v>135.69999999999999</v>
      </c>
      <c r="J279" s="4">
        <v>155.69999999999999</v>
      </c>
      <c r="K279" s="4">
        <v>226</v>
      </c>
      <c r="L279" s="4">
        <v>152.19999999999999</v>
      </c>
      <c r="M279" s="4">
        <v>118.1</v>
      </c>
      <c r="N279" s="4">
        <v>161.30000000000001</v>
      </c>
      <c r="O279" s="4">
        <v>139.19999999999999</v>
      </c>
      <c r="P279" s="4">
        <v>164.8</v>
      </c>
      <c r="Q279" s="4">
        <v>164.4</v>
      </c>
      <c r="R279" s="4">
        <v>188.7</v>
      </c>
      <c r="S279" s="4">
        <v>150.5</v>
      </c>
      <c r="T279" s="4">
        <v>136.1</v>
      </c>
      <c r="U279" s="4">
        <v>148.30000000000001</v>
      </c>
      <c r="V279" s="4">
        <v>156.5</v>
      </c>
      <c r="W279" s="4">
        <v>137.1</v>
      </c>
      <c r="X279" s="4">
        <v>145.1</v>
      </c>
      <c r="Y279" s="4">
        <v>151</v>
      </c>
      <c r="Z279" s="4">
        <v>135.4</v>
      </c>
      <c r="AA279" s="4">
        <v>142</v>
      </c>
      <c r="AB279" s="4">
        <v>155.69999999999999</v>
      </c>
      <c r="AC279" s="4">
        <v>158.1</v>
      </c>
      <c r="AD279" s="4">
        <v>146.19999999999999</v>
      </c>
      <c r="AE279" s="4">
        <v>155.19999999999999</v>
      </c>
    </row>
    <row r="280" spans="1:31" x14ac:dyDescent="0.25">
      <c r="A280" s="4" t="s">
        <v>12</v>
      </c>
      <c r="B280" s="4">
        <v>2020</v>
      </c>
      <c r="C280" s="4" t="s">
        <v>21</v>
      </c>
      <c r="D280" s="4" t="str">
        <f t="shared" si="4"/>
        <v>2020OctoberRural+Urban</v>
      </c>
      <c r="E280" s="4">
        <v>147.5</v>
      </c>
      <c r="F280" s="4">
        <v>188.9</v>
      </c>
      <c r="G280" s="4">
        <v>161.4</v>
      </c>
      <c r="H280" s="4">
        <v>153.6</v>
      </c>
      <c r="I280" s="4">
        <v>140.1</v>
      </c>
      <c r="J280" s="4">
        <v>151.19999999999999</v>
      </c>
      <c r="K280" s="4">
        <v>209.2</v>
      </c>
      <c r="L280" s="4">
        <v>150.9</v>
      </c>
      <c r="M280" s="4">
        <v>116.2</v>
      </c>
      <c r="N280" s="4">
        <v>161</v>
      </c>
      <c r="O280" s="4">
        <v>144</v>
      </c>
      <c r="P280" s="4">
        <v>163.19999999999999</v>
      </c>
      <c r="Q280" s="4">
        <v>161.4</v>
      </c>
      <c r="R280" s="4">
        <v>184.3</v>
      </c>
      <c r="S280" s="4">
        <v>153.69999999999999</v>
      </c>
      <c r="T280" s="4">
        <v>144.6</v>
      </c>
      <c r="U280" s="4">
        <v>152.30000000000001</v>
      </c>
      <c r="V280" s="4">
        <v>156.5</v>
      </c>
      <c r="W280" s="4">
        <v>143.1</v>
      </c>
      <c r="X280" s="4">
        <v>148.69999999999999</v>
      </c>
      <c r="Y280" s="4">
        <v>156.30000000000001</v>
      </c>
      <c r="Z280" s="4">
        <v>140.6</v>
      </c>
      <c r="AA280" s="4">
        <v>146.5</v>
      </c>
      <c r="AB280" s="4">
        <v>158.5</v>
      </c>
      <c r="AC280" s="4">
        <v>157</v>
      </c>
      <c r="AD280" s="4">
        <v>150.4</v>
      </c>
      <c r="AE280" s="4">
        <v>156.4</v>
      </c>
    </row>
    <row r="281" spans="1:31" x14ac:dyDescent="0.25">
      <c r="A281" s="4" t="s">
        <v>9</v>
      </c>
      <c r="B281" s="4">
        <v>2020</v>
      </c>
      <c r="C281" s="4" t="s">
        <v>23</v>
      </c>
      <c r="D281" s="4" t="str">
        <f t="shared" si="4"/>
        <v>2020NovemberRural</v>
      </c>
      <c r="E281" s="4">
        <v>145.4</v>
      </c>
      <c r="F281" s="4">
        <v>188.6</v>
      </c>
      <c r="G281" s="4">
        <v>171.6</v>
      </c>
      <c r="H281" s="4">
        <v>153.80000000000001</v>
      </c>
      <c r="I281" s="4">
        <v>145.4</v>
      </c>
      <c r="J281" s="4">
        <v>146.5</v>
      </c>
      <c r="K281" s="4">
        <v>222.2</v>
      </c>
      <c r="L281" s="4">
        <v>155.9</v>
      </c>
      <c r="M281" s="4">
        <v>114.9</v>
      </c>
      <c r="N281" s="4">
        <v>162</v>
      </c>
      <c r="O281" s="4">
        <v>150</v>
      </c>
      <c r="P281" s="4">
        <v>162.69999999999999</v>
      </c>
      <c r="Q281" s="4">
        <v>163.4</v>
      </c>
      <c r="R281" s="4">
        <v>183.4</v>
      </c>
      <c r="S281" s="4">
        <v>156.30000000000001</v>
      </c>
      <c r="T281" s="4">
        <v>151</v>
      </c>
      <c r="U281" s="4">
        <v>155.5</v>
      </c>
      <c r="V281" s="4" t="s">
        <v>26</v>
      </c>
      <c r="W281" s="4">
        <v>147.5</v>
      </c>
      <c r="X281" s="4">
        <v>152.80000000000001</v>
      </c>
      <c r="Y281" s="4">
        <v>160.4</v>
      </c>
      <c r="Z281" s="4">
        <v>146.1</v>
      </c>
      <c r="AA281" s="4">
        <v>153.6</v>
      </c>
      <c r="AB281" s="4">
        <v>161.6</v>
      </c>
      <c r="AC281" s="4">
        <v>156.19999999999999</v>
      </c>
      <c r="AD281" s="4">
        <v>154.5</v>
      </c>
      <c r="AE281" s="4">
        <v>159.80000000000001</v>
      </c>
    </row>
    <row r="282" spans="1:31" x14ac:dyDescent="0.25">
      <c r="A282" s="4" t="s">
        <v>11</v>
      </c>
      <c r="B282" s="4">
        <v>2020</v>
      </c>
      <c r="C282" s="4" t="s">
        <v>23</v>
      </c>
      <c r="D282" s="4" t="str">
        <f t="shared" si="4"/>
        <v>2020NovemberUrban</v>
      </c>
      <c r="E282" s="4">
        <v>149.69999999999999</v>
      </c>
      <c r="F282" s="4">
        <v>195.5</v>
      </c>
      <c r="G282" s="4">
        <v>176.9</v>
      </c>
      <c r="H282" s="4">
        <v>153.9</v>
      </c>
      <c r="I282" s="4">
        <v>138</v>
      </c>
      <c r="J282" s="4">
        <v>150.5</v>
      </c>
      <c r="K282" s="4">
        <v>245.3</v>
      </c>
      <c r="L282" s="4">
        <v>158.69999999999999</v>
      </c>
      <c r="M282" s="4">
        <v>117.2</v>
      </c>
      <c r="N282" s="4">
        <v>161.4</v>
      </c>
      <c r="O282" s="4">
        <v>141.5</v>
      </c>
      <c r="P282" s="4">
        <v>165.1</v>
      </c>
      <c r="Q282" s="4">
        <v>167</v>
      </c>
      <c r="R282" s="4">
        <v>188.8</v>
      </c>
      <c r="S282" s="4">
        <v>151.1</v>
      </c>
      <c r="T282" s="4">
        <v>136.4</v>
      </c>
      <c r="U282" s="4">
        <v>148.80000000000001</v>
      </c>
      <c r="V282" s="4">
        <v>158</v>
      </c>
      <c r="W282" s="4">
        <v>137.30000000000001</v>
      </c>
      <c r="X282" s="4">
        <v>145.1</v>
      </c>
      <c r="Y282" s="4">
        <v>152</v>
      </c>
      <c r="Z282" s="4">
        <v>135.19999999999999</v>
      </c>
      <c r="AA282" s="4">
        <v>144.4</v>
      </c>
      <c r="AB282" s="4">
        <v>156.4</v>
      </c>
      <c r="AC282" s="4">
        <v>157.9</v>
      </c>
      <c r="AD282" s="4">
        <v>146.6</v>
      </c>
      <c r="AE282" s="4">
        <v>156.69999999999999</v>
      </c>
    </row>
    <row r="283" spans="1:31" x14ac:dyDescent="0.25">
      <c r="A283" s="4" t="s">
        <v>12</v>
      </c>
      <c r="B283" s="4">
        <v>2020</v>
      </c>
      <c r="C283" s="4" t="s">
        <v>23</v>
      </c>
      <c r="D283" s="4" t="str">
        <f t="shared" si="4"/>
        <v>2020NovemberRural+Urban</v>
      </c>
      <c r="E283" s="4">
        <v>146.80000000000001</v>
      </c>
      <c r="F283" s="4">
        <v>191</v>
      </c>
      <c r="G283" s="4">
        <v>173.6</v>
      </c>
      <c r="H283" s="4">
        <v>153.80000000000001</v>
      </c>
      <c r="I283" s="4">
        <v>142.69999999999999</v>
      </c>
      <c r="J283" s="4">
        <v>148.4</v>
      </c>
      <c r="K283" s="4">
        <v>230</v>
      </c>
      <c r="L283" s="4">
        <v>156.80000000000001</v>
      </c>
      <c r="M283" s="4">
        <v>115.7</v>
      </c>
      <c r="N283" s="4">
        <v>161.80000000000001</v>
      </c>
      <c r="O283" s="4">
        <v>146.5</v>
      </c>
      <c r="P283" s="4">
        <v>163.80000000000001</v>
      </c>
      <c r="Q283" s="4">
        <v>164.7</v>
      </c>
      <c r="R283" s="4">
        <v>184.8</v>
      </c>
      <c r="S283" s="4">
        <v>154.30000000000001</v>
      </c>
      <c r="T283" s="4">
        <v>144.9</v>
      </c>
      <c r="U283" s="4">
        <v>152.80000000000001</v>
      </c>
      <c r="V283" s="4">
        <v>158</v>
      </c>
      <c r="W283" s="4">
        <v>143.6</v>
      </c>
      <c r="X283" s="4">
        <v>149.19999999999999</v>
      </c>
      <c r="Y283" s="4">
        <v>157.19999999999999</v>
      </c>
      <c r="Z283" s="4">
        <v>140.4</v>
      </c>
      <c r="AA283" s="4">
        <v>148.4</v>
      </c>
      <c r="AB283" s="4">
        <v>158.6</v>
      </c>
      <c r="AC283" s="4">
        <v>156.9</v>
      </c>
      <c r="AD283" s="4">
        <v>150.69999999999999</v>
      </c>
      <c r="AE283" s="4">
        <v>158.4</v>
      </c>
    </row>
    <row r="284" spans="1:31" x14ac:dyDescent="0.25">
      <c r="A284" s="4" t="s">
        <v>9</v>
      </c>
      <c r="B284" s="4">
        <v>2020</v>
      </c>
      <c r="C284" s="4" t="s">
        <v>24</v>
      </c>
      <c r="D284" s="4" t="str">
        <f t="shared" si="4"/>
        <v>2020DecemberRural</v>
      </c>
      <c r="E284" s="4">
        <v>144.6</v>
      </c>
      <c r="F284" s="4">
        <v>188.5</v>
      </c>
      <c r="G284" s="4">
        <v>173.4</v>
      </c>
      <c r="H284" s="4">
        <v>154</v>
      </c>
      <c r="I284" s="4">
        <v>150</v>
      </c>
      <c r="J284" s="4">
        <v>145.9</v>
      </c>
      <c r="K284" s="4">
        <v>225.2</v>
      </c>
      <c r="L284" s="4">
        <v>159.5</v>
      </c>
      <c r="M284" s="4">
        <v>114.4</v>
      </c>
      <c r="N284" s="4">
        <v>163.5</v>
      </c>
      <c r="O284" s="4">
        <v>153.4</v>
      </c>
      <c r="P284" s="4">
        <v>163.6</v>
      </c>
      <c r="Q284" s="4">
        <v>164.5</v>
      </c>
      <c r="R284" s="4">
        <v>183.6</v>
      </c>
      <c r="S284" s="4">
        <v>157</v>
      </c>
      <c r="T284" s="4">
        <v>151.6</v>
      </c>
      <c r="U284" s="4">
        <v>156.30000000000001</v>
      </c>
      <c r="V284" s="4" t="s">
        <v>26</v>
      </c>
      <c r="W284" s="4">
        <v>148.69999999999999</v>
      </c>
      <c r="X284" s="4">
        <v>153.4</v>
      </c>
      <c r="Y284" s="4">
        <v>161.6</v>
      </c>
      <c r="Z284" s="4">
        <v>146.4</v>
      </c>
      <c r="AA284" s="4">
        <v>153.9</v>
      </c>
      <c r="AB284" s="4">
        <v>162.9</v>
      </c>
      <c r="AC284" s="4">
        <v>156.6</v>
      </c>
      <c r="AD284" s="4">
        <v>155.19999999999999</v>
      </c>
      <c r="AE284" s="4">
        <v>160.69999999999999</v>
      </c>
    </row>
    <row r="285" spans="1:31" x14ac:dyDescent="0.25">
      <c r="A285" s="4" t="s">
        <v>11</v>
      </c>
      <c r="B285" s="4">
        <v>2020</v>
      </c>
      <c r="C285" s="4" t="s">
        <v>24</v>
      </c>
      <c r="D285" s="4" t="str">
        <f t="shared" si="4"/>
        <v>2020DecemberUrban</v>
      </c>
      <c r="E285" s="4">
        <v>149</v>
      </c>
      <c r="F285" s="4">
        <v>195.7</v>
      </c>
      <c r="G285" s="4">
        <v>178.3</v>
      </c>
      <c r="H285" s="4">
        <v>154.19999999999999</v>
      </c>
      <c r="I285" s="4">
        <v>140.69999999999999</v>
      </c>
      <c r="J285" s="4">
        <v>149.69999999999999</v>
      </c>
      <c r="K285" s="4">
        <v>240.9</v>
      </c>
      <c r="L285" s="4">
        <v>161.5</v>
      </c>
      <c r="M285" s="4">
        <v>117.1</v>
      </c>
      <c r="N285" s="4">
        <v>161.9</v>
      </c>
      <c r="O285" s="4">
        <v>143.30000000000001</v>
      </c>
      <c r="P285" s="4">
        <v>166.1</v>
      </c>
      <c r="Q285" s="4">
        <v>167</v>
      </c>
      <c r="R285" s="4">
        <v>190.2</v>
      </c>
      <c r="S285" s="4">
        <v>151.9</v>
      </c>
      <c r="T285" s="4">
        <v>136.69999999999999</v>
      </c>
      <c r="U285" s="4">
        <v>149.6</v>
      </c>
      <c r="V285" s="4">
        <v>158.4</v>
      </c>
      <c r="W285" s="4">
        <v>137.9</v>
      </c>
      <c r="X285" s="4">
        <v>145.5</v>
      </c>
      <c r="Y285" s="4">
        <v>152.9</v>
      </c>
      <c r="Z285" s="4">
        <v>135.5</v>
      </c>
      <c r="AA285" s="4">
        <v>144.30000000000001</v>
      </c>
      <c r="AB285" s="4">
        <v>156.9</v>
      </c>
      <c r="AC285" s="4">
        <v>157.9</v>
      </c>
      <c r="AD285" s="4">
        <v>146.9</v>
      </c>
      <c r="AE285" s="4">
        <v>156.9</v>
      </c>
    </row>
    <row r="286" spans="1:31" x14ac:dyDescent="0.25">
      <c r="A286" s="4" t="s">
        <v>12</v>
      </c>
      <c r="B286" s="4">
        <v>2020</v>
      </c>
      <c r="C286" s="4" t="s">
        <v>24</v>
      </c>
      <c r="D286" s="4" t="str">
        <f t="shared" si="4"/>
        <v>2020DecemberRural+Urban</v>
      </c>
      <c r="E286" s="4">
        <v>146</v>
      </c>
      <c r="F286" s="4">
        <v>191</v>
      </c>
      <c r="G286" s="4">
        <v>175.3</v>
      </c>
      <c r="H286" s="4">
        <v>154.1</v>
      </c>
      <c r="I286" s="4">
        <v>146.6</v>
      </c>
      <c r="J286" s="4">
        <v>147.69999999999999</v>
      </c>
      <c r="K286" s="4">
        <v>230.5</v>
      </c>
      <c r="L286" s="4">
        <v>160.19999999999999</v>
      </c>
      <c r="M286" s="4">
        <v>115.3</v>
      </c>
      <c r="N286" s="4">
        <v>163</v>
      </c>
      <c r="O286" s="4">
        <v>149.19999999999999</v>
      </c>
      <c r="P286" s="4">
        <v>164.8</v>
      </c>
      <c r="Q286" s="4">
        <v>165.4</v>
      </c>
      <c r="R286" s="4">
        <v>185.4</v>
      </c>
      <c r="S286" s="4">
        <v>155</v>
      </c>
      <c r="T286" s="4">
        <v>145.4</v>
      </c>
      <c r="U286" s="4">
        <v>153.6</v>
      </c>
      <c r="V286" s="4">
        <v>158.4</v>
      </c>
      <c r="W286" s="4">
        <v>144.6</v>
      </c>
      <c r="X286" s="4">
        <v>149.69999999999999</v>
      </c>
      <c r="Y286" s="4">
        <v>158.30000000000001</v>
      </c>
      <c r="Z286" s="4">
        <v>140.69999999999999</v>
      </c>
      <c r="AA286" s="4">
        <v>148.5</v>
      </c>
      <c r="AB286" s="4">
        <v>159.4</v>
      </c>
      <c r="AC286" s="4">
        <v>157.1</v>
      </c>
      <c r="AD286" s="4">
        <v>151.19999999999999</v>
      </c>
      <c r="AE286" s="4">
        <v>158.9</v>
      </c>
    </row>
    <row r="287" spans="1:31" x14ac:dyDescent="0.25">
      <c r="A287" s="4" t="s">
        <v>9</v>
      </c>
      <c r="B287" s="4">
        <v>2021</v>
      </c>
      <c r="C287" s="4" t="s">
        <v>10</v>
      </c>
      <c r="D287" s="4" t="str">
        <f t="shared" si="4"/>
        <v>2021JanuaryRural</v>
      </c>
      <c r="E287" s="4">
        <v>143.4</v>
      </c>
      <c r="F287" s="4">
        <v>187.5</v>
      </c>
      <c r="G287" s="4">
        <v>173.4</v>
      </c>
      <c r="H287" s="4">
        <v>154</v>
      </c>
      <c r="I287" s="4">
        <v>154.80000000000001</v>
      </c>
      <c r="J287" s="4">
        <v>147</v>
      </c>
      <c r="K287" s="4">
        <v>187.8</v>
      </c>
      <c r="L287" s="4">
        <v>159.5</v>
      </c>
      <c r="M287" s="4">
        <v>113.8</v>
      </c>
      <c r="N287" s="4">
        <v>164.5</v>
      </c>
      <c r="O287" s="4">
        <v>156.1</v>
      </c>
      <c r="P287" s="4">
        <v>164.3</v>
      </c>
      <c r="Q287" s="4">
        <v>159.6</v>
      </c>
      <c r="R287" s="4">
        <v>184.6</v>
      </c>
      <c r="S287" s="4">
        <v>157.5</v>
      </c>
      <c r="T287" s="4">
        <v>152.4</v>
      </c>
      <c r="U287" s="4">
        <v>156.80000000000001</v>
      </c>
      <c r="V287" s="4" t="s">
        <v>26</v>
      </c>
      <c r="W287" s="4">
        <v>150.9</v>
      </c>
      <c r="X287" s="4">
        <v>153.9</v>
      </c>
      <c r="Y287" s="4">
        <v>162.5</v>
      </c>
      <c r="Z287" s="4">
        <v>147.5</v>
      </c>
      <c r="AA287" s="4">
        <v>155.1</v>
      </c>
      <c r="AB287" s="4">
        <v>163.5</v>
      </c>
      <c r="AC287" s="4">
        <v>156.19999999999999</v>
      </c>
      <c r="AD287" s="4">
        <v>155.9</v>
      </c>
      <c r="AE287" s="4">
        <v>158.5</v>
      </c>
    </row>
    <row r="288" spans="1:31" x14ac:dyDescent="0.25">
      <c r="A288" s="4" t="s">
        <v>11</v>
      </c>
      <c r="B288" s="4">
        <v>2021</v>
      </c>
      <c r="C288" s="4" t="s">
        <v>10</v>
      </c>
      <c r="D288" s="4" t="str">
        <f t="shared" si="4"/>
        <v>2021JanuaryUrban</v>
      </c>
      <c r="E288" s="4">
        <v>148</v>
      </c>
      <c r="F288" s="4">
        <v>194.8</v>
      </c>
      <c r="G288" s="4">
        <v>178.4</v>
      </c>
      <c r="H288" s="4">
        <v>154.4</v>
      </c>
      <c r="I288" s="4">
        <v>144.1</v>
      </c>
      <c r="J288" s="4">
        <v>152.6</v>
      </c>
      <c r="K288" s="4">
        <v>206.8</v>
      </c>
      <c r="L288" s="4">
        <v>162.1</v>
      </c>
      <c r="M288" s="4">
        <v>116.3</v>
      </c>
      <c r="N288" s="4">
        <v>163</v>
      </c>
      <c r="O288" s="4">
        <v>145.9</v>
      </c>
      <c r="P288" s="4">
        <v>167.2</v>
      </c>
      <c r="Q288" s="4">
        <v>163.4</v>
      </c>
      <c r="R288" s="4">
        <v>191.8</v>
      </c>
      <c r="S288" s="4">
        <v>152.5</v>
      </c>
      <c r="T288" s="4">
        <v>137.30000000000001</v>
      </c>
      <c r="U288" s="4">
        <v>150.19999999999999</v>
      </c>
      <c r="V288" s="4">
        <v>157.69999999999999</v>
      </c>
      <c r="W288" s="4">
        <v>142.9</v>
      </c>
      <c r="X288" s="4">
        <v>145.69999999999999</v>
      </c>
      <c r="Y288" s="4">
        <v>154.1</v>
      </c>
      <c r="Z288" s="4">
        <v>136.9</v>
      </c>
      <c r="AA288" s="4">
        <v>145.4</v>
      </c>
      <c r="AB288" s="4">
        <v>156.1</v>
      </c>
      <c r="AC288" s="4">
        <v>157.69999999999999</v>
      </c>
      <c r="AD288" s="4">
        <v>147.6</v>
      </c>
      <c r="AE288" s="4">
        <v>156</v>
      </c>
    </row>
    <row r="289" spans="1:31" x14ac:dyDescent="0.25">
      <c r="A289" s="4" t="s">
        <v>12</v>
      </c>
      <c r="B289" s="4">
        <v>2021</v>
      </c>
      <c r="C289" s="4" t="s">
        <v>10</v>
      </c>
      <c r="D289" s="4" t="str">
        <f t="shared" si="4"/>
        <v>2021JanuaryRural+Urban</v>
      </c>
      <c r="E289" s="4">
        <v>144.9</v>
      </c>
      <c r="F289" s="4">
        <v>190.1</v>
      </c>
      <c r="G289" s="4">
        <v>175.3</v>
      </c>
      <c r="H289" s="4">
        <v>154.1</v>
      </c>
      <c r="I289" s="4">
        <v>150.9</v>
      </c>
      <c r="J289" s="4">
        <v>149.6</v>
      </c>
      <c r="K289" s="4">
        <v>194.2</v>
      </c>
      <c r="L289" s="4">
        <v>160.4</v>
      </c>
      <c r="M289" s="4">
        <v>114.6</v>
      </c>
      <c r="N289" s="4">
        <v>164</v>
      </c>
      <c r="O289" s="4">
        <v>151.80000000000001</v>
      </c>
      <c r="P289" s="4">
        <v>165.6</v>
      </c>
      <c r="Q289" s="4">
        <v>161</v>
      </c>
      <c r="R289" s="4">
        <v>186.5</v>
      </c>
      <c r="S289" s="4">
        <v>155.5</v>
      </c>
      <c r="T289" s="4">
        <v>146.1</v>
      </c>
      <c r="U289" s="4">
        <v>154.19999999999999</v>
      </c>
      <c r="V289" s="4">
        <v>157.69999999999999</v>
      </c>
      <c r="W289" s="4">
        <v>147.9</v>
      </c>
      <c r="X289" s="4">
        <v>150</v>
      </c>
      <c r="Y289" s="4">
        <v>159.30000000000001</v>
      </c>
      <c r="Z289" s="4">
        <v>141.9</v>
      </c>
      <c r="AA289" s="4">
        <v>149.6</v>
      </c>
      <c r="AB289" s="4">
        <v>159.19999999999999</v>
      </c>
      <c r="AC289" s="4">
        <v>156.80000000000001</v>
      </c>
      <c r="AD289" s="4">
        <v>151.9</v>
      </c>
      <c r="AE289" s="4">
        <v>157.30000000000001</v>
      </c>
    </row>
    <row r="290" spans="1:31" x14ac:dyDescent="0.25">
      <c r="A290" s="4" t="s">
        <v>9</v>
      </c>
      <c r="B290" s="4">
        <v>2021</v>
      </c>
      <c r="C290" s="4" t="s">
        <v>13</v>
      </c>
      <c r="D290" s="4" t="str">
        <f t="shared" si="4"/>
        <v>2021FebruaryRural</v>
      </c>
      <c r="E290" s="4">
        <v>142.80000000000001</v>
      </c>
      <c r="F290" s="4">
        <v>184</v>
      </c>
      <c r="G290" s="4">
        <v>168</v>
      </c>
      <c r="H290" s="4">
        <v>154.4</v>
      </c>
      <c r="I290" s="4">
        <v>163</v>
      </c>
      <c r="J290" s="4">
        <v>147.80000000000001</v>
      </c>
      <c r="K290" s="4">
        <v>149.69999999999999</v>
      </c>
      <c r="L290" s="4">
        <v>158.30000000000001</v>
      </c>
      <c r="M290" s="4">
        <v>111.8</v>
      </c>
      <c r="N290" s="4">
        <v>165</v>
      </c>
      <c r="O290" s="4">
        <v>160</v>
      </c>
      <c r="P290" s="4">
        <v>165.8</v>
      </c>
      <c r="Q290" s="4">
        <v>154.69999999999999</v>
      </c>
      <c r="R290" s="4">
        <v>186.5</v>
      </c>
      <c r="S290" s="4">
        <v>159.1</v>
      </c>
      <c r="T290" s="4">
        <v>153.9</v>
      </c>
      <c r="U290" s="4">
        <v>158.4</v>
      </c>
      <c r="V290" s="4" t="s">
        <v>26</v>
      </c>
      <c r="W290" s="4">
        <v>154.4</v>
      </c>
      <c r="X290" s="4">
        <v>154.80000000000001</v>
      </c>
      <c r="Y290" s="4">
        <v>164.3</v>
      </c>
      <c r="Z290" s="4">
        <v>150.19999999999999</v>
      </c>
      <c r="AA290" s="4">
        <v>157</v>
      </c>
      <c r="AB290" s="4">
        <v>163.6</v>
      </c>
      <c r="AC290" s="4">
        <v>155.19999999999999</v>
      </c>
      <c r="AD290" s="4">
        <v>157.19999999999999</v>
      </c>
      <c r="AE290" s="4">
        <v>156.69999999999999</v>
      </c>
    </row>
    <row r="291" spans="1:31" x14ac:dyDescent="0.25">
      <c r="A291" s="4" t="s">
        <v>11</v>
      </c>
      <c r="B291" s="4">
        <v>2021</v>
      </c>
      <c r="C291" s="4" t="s">
        <v>13</v>
      </c>
      <c r="D291" s="4" t="str">
        <f t="shared" si="4"/>
        <v>2021FebruaryUrban</v>
      </c>
      <c r="E291" s="4">
        <v>147.6</v>
      </c>
      <c r="F291" s="4">
        <v>191.2</v>
      </c>
      <c r="G291" s="4">
        <v>169.9</v>
      </c>
      <c r="H291" s="4">
        <v>155.1</v>
      </c>
      <c r="I291" s="4">
        <v>151.4</v>
      </c>
      <c r="J291" s="4">
        <v>154</v>
      </c>
      <c r="K291" s="4">
        <v>180.2</v>
      </c>
      <c r="L291" s="4">
        <v>159.80000000000001</v>
      </c>
      <c r="M291" s="4">
        <v>114.9</v>
      </c>
      <c r="N291" s="4">
        <v>162.5</v>
      </c>
      <c r="O291" s="4">
        <v>149.19999999999999</v>
      </c>
      <c r="P291" s="4">
        <v>169.4</v>
      </c>
      <c r="Q291" s="4">
        <v>160.80000000000001</v>
      </c>
      <c r="R291" s="4">
        <v>193.3</v>
      </c>
      <c r="S291" s="4">
        <v>154.19999999999999</v>
      </c>
      <c r="T291" s="4">
        <v>138.19999999999999</v>
      </c>
      <c r="U291" s="4">
        <v>151.80000000000001</v>
      </c>
      <c r="V291" s="4">
        <v>159.80000000000001</v>
      </c>
      <c r="W291" s="4">
        <v>149.1</v>
      </c>
      <c r="X291" s="4">
        <v>146.5</v>
      </c>
      <c r="Y291" s="4">
        <v>156.30000000000001</v>
      </c>
      <c r="Z291" s="4">
        <v>140.5</v>
      </c>
      <c r="AA291" s="4">
        <v>147.30000000000001</v>
      </c>
      <c r="AB291" s="4">
        <v>156.6</v>
      </c>
      <c r="AC291" s="4">
        <v>156.69999999999999</v>
      </c>
      <c r="AD291" s="4">
        <v>149.30000000000001</v>
      </c>
      <c r="AE291" s="4">
        <v>156.5</v>
      </c>
    </row>
    <row r="292" spans="1:31" x14ac:dyDescent="0.25">
      <c r="A292" s="4" t="s">
        <v>12</v>
      </c>
      <c r="B292" s="4">
        <v>2021</v>
      </c>
      <c r="C292" s="4" t="s">
        <v>13</v>
      </c>
      <c r="D292" s="4" t="str">
        <f t="shared" si="4"/>
        <v>2021FebruaryRural+Urban</v>
      </c>
      <c r="E292" s="4">
        <v>144.30000000000001</v>
      </c>
      <c r="F292" s="4">
        <v>186.5</v>
      </c>
      <c r="G292" s="4">
        <v>168.7</v>
      </c>
      <c r="H292" s="4">
        <v>154.69999999999999</v>
      </c>
      <c r="I292" s="4">
        <v>158.69999999999999</v>
      </c>
      <c r="J292" s="4">
        <v>150.69999999999999</v>
      </c>
      <c r="K292" s="4">
        <v>160</v>
      </c>
      <c r="L292" s="4">
        <v>158.80000000000001</v>
      </c>
      <c r="M292" s="4">
        <v>112.8</v>
      </c>
      <c r="N292" s="4">
        <v>164.2</v>
      </c>
      <c r="O292" s="4">
        <v>155.5</v>
      </c>
      <c r="P292" s="4">
        <v>167.5</v>
      </c>
      <c r="Q292" s="4">
        <v>156.9</v>
      </c>
      <c r="R292" s="4">
        <v>188.3</v>
      </c>
      <c r="S292" s="4">
        <v>157.19999999999999</v>
      </c>
      <c r="T292" s="4">
        <v>147.4</v>
      </c>
      <c r="U292" s="4">
        <v>155.80000000000001</v>
      </c>
      <c r="V292" s="4">
        <v>159.80000000000001</v>
      </c>
      <c r="W292" s="4">
        <v>152.4</v>
      </c>
      <c r="X292" s="4">
        <v>150.9</v>
      </c>
      <c r="Y292" s="4">
        <v>161.30000000000001</v>
      </c>
      <c r="Z292" s="4">
        <v>145.1</v>
      </c>
      <c r="AA292" s="4">
        <v>151.5</v>
      </c>
      <c r="AB292" s="4">
        <v>159.5</v>
      </c>
      <c r="AC292" s="4">
        <v>155.80000000000001</v>
      </c>
      <c r="AD292" s="4">
        <v>153.4</v>
      </c>
      <c r="AE292" s="4">
        <v>156.6</v>
      </c>
    </row>
    <row r="293" spans="1:31" x14ac:dyDescent="0.25">
      <c r="A293" s="4" t="s">
        <v>9</v>
      </c>
      <c r="B293" s="4">
        <v>2021</v>
      </c>
      <c r="C293" s="4" t="s">
        <v>15</v>
      </c>
      <c r="D293" s="4" t="str">
        <f t="shared" si="4"/>
        <v>2021MarchRural</v>
      </c>
      <c r="E293" s="4">
        <v>142.5</v>
      </c>
      <c r="F293" s="4">
        <v>189.4</v>
      </c>
      <c r="G293" s="4">
        <v>163.19999999999999</v>
      </c>
      <c r="H293" s="4">
        <v>154.5</v>
      </c>
      <c r="I293" s="4">
        <v>168.2</v>
      </c>
      <c r="J293" s="4">
        <v>150.5</v>
      </c>
      <c r="K293" s="4">
        <v>141</v>
      </c>
      <c r="L293" s="4">
        <v>159.19999999999999</v>
      </c>
      <c r="M293" s="4">
        <v>111.7</v>
      </c>
      <c r="N293" s="4">
        <v>164</v>
      </c>
      <c r="O293" s="4">
        <v>160.6</v>
      </c>
      <c r="P293" s="4">
        <v>166.4</v>
      </c>
      <c r="Q293" s="4">
        <v>154.5</v>
      </c>
      <c r="R293" s="4">
        <v>186.1</v>
      </c>
      <c r="S293" s="4">
        <v>159.6</v>
      </c>
      <c r="T293" s="4">
        <v>154.4</v>
      </c>
      <c r="U293" s="4">
        <v>158.9</v>
      </c>
      <c r="V293" s="4" t="s">
        <v>48</v>
      </c>
      <c r="W293" s="4">
        <v>156</v>
      </c>
      <c r="X293" s="4">
        <v>154.80000000000001</v>
      </c>
      <c r="Y293" s="4">
        <v>164.6</v>
      </c>
      <c r="Z293" s="4">
        <v>151.30000000000001</v>
      </c>
      <c r="AA293" s="4">
        <v>157.80000000000001</v>
      </c>
      <c r="AB293" s="4">
        <v>163.80000000000001</v>
      </c>
      <c r="AC293" s="4">
        <v>153.1</v>
      </c>
      <c r="AD293" s="4">
        <v>157.30000000000001</v>
      </c>
      <c r="AE293" s="4">
        <v>156.69999999999999</v>
      </c>
    </row>
    <row r="294" spans="1:31" x14ac:dyDescent="0.25">
      <c r="A294" s="4" t="s">
        <v>11</v>
      </c>
      <c r="B294" s="4">
        <v>2021</v>
      </c>
      <c r="C294" s="4" t="s">
        <v>15</v>
      </c>
      <c r="D294" s="4" t="str">
        <f t="shared" si="4"/>
        <v>2021MarchUrban</v>
      </c>
      <c r="E294" s="4">
        <v>147.5</v>
      </c>
      <c r="F294" s="4">
        <v>197.5</v>
      </c>
      <c r="G294" s="4">
        <v>164.7</v>
      </c>
      <c r="H294" s="4">
        <v>155.6</v>
      </c>
      <c r="I294" s="4">
        <v>156.4</v>
      </c>
      <c r="J294" s="4">
        <v>157.30000000000001</v>
      </c>
      <c r="K294" s="4">
        <v>166.1</v>
      </c>
      <c r="L294" s="4">
        <v>161.1</v>
      </c>
      <c r="M294" s="4">
        <v>114.3</v>
      </c>
      <c r="N294" s="4">
        <v>162.6</v>
      </c>
      <c r="O294" s="4">
        <v>150.69999999999999</v>
      </c>
      <c r="P294" s="4">
        <v>170.3</v>
      </c>
      <c r="Q294" s="4">
        <v>160.4</v>
      </c>
      <c r="R294" s="4">
        <v>193.5</v>
      </c>
      <c r="S294" s="4">
        <v>155.1</v>
      </c>
      <c r="T294" s="4">
        <v>138.69999999999999</v>
      </c>
      <c r="U294" s="4">
        <v>152.6</v>
      </c>
      <c r="V294" s="4">
        <v>159.9</v>
      </c>
      <c r="W294" s="4">
        <v>154.80000000000001</v>
      </c>
      <c r="X294" s="4">
        <v>147.19999999999999</v>
      </c>
      <c r="Y294" s="4">
        <v>156.9</v>
      </c>
      <c r="Z294" s="4">
        <v>141.69999999999999</v>
      </c>
      <c r="AA294" s="4">
        <v>148.6</v>
      </c>
      <c r="AB294" s="4">
        <v>157.6</v>
      </c>
      <c r="AC294" s="4">
        <v>154.9</v>
      </c>
      <c r="AD294" s="4">
        <v>150</v>
      </c>
      <c r="AE294" s="4">
        <v>156.9</v>
      </c>
    </row>
    <row r="295" spans="1:31" x14ac:dyDescent="0.25">
      <c r="A295" s="4" t="s">
        <v>12</v>
      </c>
      <c r="B295" s="4">
        <v>2021</v>
      </c>
      <c r="C295" s="4" t="s">
        <v>15</v>
      </c>
      <c r="D295" s="4" t="str">
        <f t="shared" si="4"/>
        <v>2021MarchRural+Urban</v>
      </c>
      <c r="E295" s="4">
        <v>144.1</v>
      </c>
      <c r="F295" s="4">
        <v>192.2</v>
      </c>
      <c r="G295" s="4">
        <v>163.80000000000001</v>
      </c>
      <c r="H295" s="4">
        <v>154.9</v>
      </c>
      <c r="I295" s="4">
        <v>163.9</v>
      </c>
      <c r="J295" s="4">
        <v>153.69999999999999</v>
      </c>
      <c r="K295" s="4">
        <v>149.5</v>
      </c>
      <c r="L295" s="4">
        <v>159.80000000000001</v>
      </c>
      <c r="M295" s="4">
        <v>112.6</v>
      </c>
      <c r="N295" s="4">
        <v>163.5</v>
      </c>
      <c r="O295" s="4">
        <v>156.5</v>
      </c>
      <c r="P295" s="4">
        <v>168.2</v>
      </c>
      <c r="Q295" s="4">
        <v>156.69999999999999</v>
      </c>
      <c r="R295" s="4">
        <v>188.1</v>
      </c>
      <c r="S295" s="4">
        <v>157.80000000000001</v>
      </c>
      <c r="T295" s="4">
        <v>147.9</v>
      </c>
      <c r="U295" s="4">
        <v>156.4</v>
      </c>
      <c r="V295" s="4">
        <v>159.9</v>
      </c>
      <c r="W295" s="4">
        <v>155.5</v>
      </c>
      <c r="X295" s="4">
        <v>151.19999999999999</v>
      </c>
      <c r="Y295" s="4">
        <v>161.69999999999999</v>
      </c>
      <c r="Z295" s="4">
        <v>146.19999999999999</v>
      </c>
      <c r="AA295" s="4">
        <v>152.6</v>
      </c>
      <c r="AB295" s="4">
        <v>160.19999999999999</v>
      </c>
      <c r="AC295" s="4">
        <v>153.80000000000001</v>
      </c>
      <c r="AD295" s="4">
        <v>153.80000000000001</v>
      </c>
      <c r="AE295" s="4">
        <v>156.80000000000001</v>
      </c>
    </row>
    <row r="296" spans="1:31" x14ac:dyDescent="0.25">
      <c r="A296" s="4" t="s">
        <v>9</v>
      </c>
      <c r="B296" s="4">
        <v>2021</v>
      </c>
      <c r="C296" s="4" t="s">
        <v>16</v>
      </c>
      <c r="D296" s="4" t="str">
        <f t="shared" si="4"/>
        <v>2021AprilRural</v>
      </c>
      <c r="E296" s="4">
        <v>142.69999999999999</v>
      </c>
      <c r="F296" s="4">
        <v>195.5</v>
      </c>
      <c r="G296" s="4">
        <v>163.4</v>
      </c>
      <c r="H296" s="4">
        <v>155</v>
      </c>
      <c r="I296" s="4">
        <v>175.2</v>
      </c>
      <c r="J296" s="4">
        <v>160.6</v>
      </c>
      <c r="K296" s="4">
        <v>135.1</v>
      </c>
      <c r="L296" s="4">
        <v>161.1</v>
      </c>
      <c r="M296" s="4">
        <v>112.2</v>
      </c>
      <c r="N296" s="4">
        <v>164.4</v>
      </c>
      <c r="O296" s="4">
        <v>161.9</v>
      </c>
      <c r="P296" s="4">
        <v>166.8</v>
      </c>
      <c r="Q296" s="4">
        <v>155.6</v>
      </c>
      <c r="R296" s="4">
        <v>186.8</v>
      </c>
      <c r="S296" s="4">
        <v>160.69999999999999</v>
      </c>
      <c r="T296" s="4">
        <v>155.1</v>
      </c>
      <c r="U296" s="4">
        <v>159.9</v>
      </c>
      <c r="V296" s="4" t="s">
        <v>48</v>
      </c>
      <c r="W296" s="4">
        <v>156</v>
      </c>
      <c r="X296" s="4">
        <v>155.5</v>
      </c>
      <c r="Y296" s="4">
        <v>165.3</v>
      </c>
      <c r="Z296" s="4">
        <v>151.69999999999999</v>
      </c>
      <c r="AA296" s="4">
        <v>158.6</v>
      </c>
      <c r="AB296" s="4">
        <v>164.1</v>
      </c>
      <c r="AC296" s="4">
        <v>154.6</v>
      </c>
      <c r="AD296" s="4">
        <v>158</v>
      </c>
      <c r="AE296" s="4">
        <v>157.6</v>
      </c>
    </row>
    <row r="297" spans="1:31" x14ac:dyDescent="0.25">
      <c r="A297" s="4" t="s">
        <v>11</v>
      </c>
      <c r="B297" s="4">
        <v>2021</v>
      </c>
      <c r="C297" s="4" t="s">
        <v>16</v>
      </c>
      <c r="D297" s="4" t="str">
        <f t="shared" si="4"/>
        <v>2021AprilUrban</v>
      </c>
      <c r="E297" s="4">
        <v>147.6</v>
      </c>
      <c r="F297" s="4">
        <v>202.5</v>
      </c>
      <c r="G297" s="4">
        <v>166.4</v>
      </c>
      <c r="H297" s="4">
        <v>156</v>
      </c>
      <c r="I297" s="4">
        <v>161.4</v>
      </c>
      <c r="J297" s="4">
        <v>168.8</v>
      </c>
      <c r="K297" s="4">
        <v>161.6</v>
      </c>
      <c r="L297" s="4">
        <v>162.80000000000001</v>
      </c>
      <c r="M297" s="4">
        <v>114.8</v>
      </c>
      <c r="N297" s="4">
        <v>162.80000000000001</v>
      </c>
      <c r="O297" s="4">
        <v>151.5</v>
      </c>
      <c r="P297" s="4">
        <v>171.4</v>
      </c>
      <c r="Q297" s="4">
        <v>162</v>
      </c>
      <c r="R297" s="4">
        <v>194.4</v>
      </c>
      <c r="S297" s="4">
        <v>155.9</v>
      </c>
      <c r="T297" s="4">
        <v>139.30000000000001</v>
      </c>
      <c r="U297" s="4">
        <v>153.4</v>
      </c>
      <c r="V297" s="4">
        <v>161.4</v>
      </c>
      <c r="W297" s="4">
        <v>154.9</v>
      </c>
      <c r="X297" s="4">
        <v>147.6</v>
      </c>
      <c r="Y297" s="4">
        <v>157.5</v>
      </c>
      <c r="Z297" s="4">
        <v>142.1</v>
      </c>
      <c r="AA297" s="4">
        <v>149.1</v>
      </c>
      <c r="AB297" s="4">
        <v>157.6</v>
      </c>
      <c r="AC297" s="4">
        <v>156.6</v>
      </c>
      <c r="AD297" s="4">
        <v>150.5</v>
      </c>
      <c r="AE297" s="4">
        <v>158</v>
      </c>
    </row>
    <row r="298" spans="1:31" x14ac:dyDescent="0.25">
      <c r="A298" s="4" t="s">
        <v>12</v>
      </c>
      <c r="B298" s="4">
        <v>2021</v>
      </c>
      <c r="C298" s="4" t="s">
        <v>16</v>
      </c>
      <c r="D298" s="4" t="str">
        <f t="shared" si="4"/>
        <v>2021AprilRural+Urban</v>
      </c>
      <c r="E298" s="4">
        <v>144.30000000000001</v>
      </c>
      <c r="F298" s="4">
        <v>198</v>
      </c>
      <c r="G298" s="4">
        <v>164.6</v>
      </c>
      <c r="H298" s="4">
        <v>155.4</v>
      </c>
      <c r="I298" s="4">
        <v>170.1</v>
      </c>
      <c r="J298" s="4">
        <v>164.4</v>
      </c>
      <c r="K298" s="4">
        <v>144.1</v>
      </c>
      <c r="L298" s="4">
        <v>161.69999999999999</v>
      </c>
      <c r="M298" s="4">
        <v>113.1</v>
      </c>
      <c r="N298" s="4">
        <v>163.9</v>
      </c>
      <c r="O298" s="4">
        <v>157.6</v>
      </c>
      <c r="P298" s="4">
        <v>168.9</v>
      </c>
      <c r="Q298" s="4">
        <v>158</v>
      </c>
      <c r="R298" s="4">
        <v>188.8</v>
      </c>
      <c r="S298" s="4">
        <v>158.80000000000001</v>
      </c>
      <c r="T298" s="4">
        <v>148.5</v>
      </c>
      <c r="U298" s="4">
        <v>157.30000000000001</v>
      </c>
      <c r="V298" s="4">
        <v>161.4</v>
      </c>
      <c r="W298" s="4">
        <v>155.6</v>
      </c>
      <c r="X298" s="4">
        <v>151.80000000000001</v>
      </c>
      <c r="Y298" s="4">
        <v>162.30000000000001</v>
      </c>
      <c r="Z298" s="4">
        <v>146.6</v>
      </c>
      <c r="AA298" s="4">
        <v>153.19999999999999</v>
      </c>
      <c r="AB298" s="4">
        <v>160.30000000000001</v>
      </c>
      <c r="AC298" s="4">
        <v>155.4</v>
      </c>
      <c r="AD298" s="4">
        <v>154.4</v>
      </c>
      <c r="AE298" s="4">
        <v>157.80000000000001</v>
      </c>
    </row>
    <row r="299" spans="1:31" x14ac:dyDescent="0.25">
      <c r="A299" s="4" t="s">
        <v>9</v>
      </c>
      <c r="B299" s="4">
        <v>2021</v>
      </c>
      <c r="C299" s="4" t="s">
        <v>14</v>
      </c>
      <c r="D299" s="4" t="str">
        <f t="shared" si="4"/>
        <v>2021MayRural</v>
      </c>
      <c r="E299" s="4">
        <v>145.1</v>
      </c>
      <c r="F299" s="4">
        <v>198.5</v>
      </c>
      <c r="G299" s="4">
        <v>168.6</v>
      </c>
      <c r="H299" s="4">
        <v>155.80000000000001</v>
      </c>
      <c r="I299" s="4">
        <v>184.4</v>
      </c>
      <c r="J299" s="4">
        <v>162.30000000000001</v>
      </c>
      <c r="K299" s="4">
        <v>138.4</v>
      </c>
      <c r="L299" s="4">
        <v>165.1</v>
      </c>
      <c r="M299" s="4">
        <v>114.3</v>
      </c>
      <c r="N299" s="4">
        <v>169.7</v>
      </c>
      <c r="O299" s="4">
        <v>164.6</v>
      </c>
      <c r="P299" s="4">
        <v>169.8</v>
      </c>
      <c r="Q299" s="4">
        <v>158.69999999999999</v>
      </c>
      <c r="R299" s="4">
        <v>189.6</v>
      </c>
      <c r="S299" s="4">
        <v>165.3</v>
      </c>
      <c r="T299" s="4">
        <v>160.6</v>
      </c>
      <c r="U299" s="4">
        <v>164.5</v>
      </c>
      <c r="V299" s="4" t="s">
        <v>26</v>
      </c>
      <c r="W299" s="4">
        <v>161.69999999999999</v>
      </c>
      <c r="X299" s="4">
        <v>158.80000000000001</v>
      </c>
      <c r="Y299" s="4">
        <v>169.1</v>
      </c>
      <c r="Z299" s="4">
        <v>153.19999999999999</v>
      </c>
      <c r="AA299" s="4">
        <v>160</v>
      </c>
      <c r="AB299" s="4">
        <v>167.6</v>
      </c>
      <c r="AC299" s="4">
        <v>159.30000000000001</v>
      </c>
      <c r="AD299" s="4">
        <v>161.1</v>
      </c>
      <c r="AE299" s="4">
        <v>161.1</v>
      </c>
    </row>
    <row r="300" spans="1:31" x14ac:dyDescent="0.25">
      <c r="A300" s="4" t="s">
        <v>11</v>
      </c>
      <c r="B300" s="4">
        <v>2021</v>
      </c>
      <c r="C300" s="4" t="s">
        <v>14</v>
      </c>
      <c r="D300" s="4" t="str">
        <f t="shared" si="4"/>
        <v>2021MayUrban</v>
      </c>
      <c r="E300" s="4">
        <v>148.80000000000001</v>
      </c>
      <c r="F300" s="4">
        <v>204.3</v>
      </c>
      <c r="G300" s="4">
        <v>173</v>
      </c>
      <c r="H300" s="4">
        <v>156.5</v>
      </c>
      <c r="I300" s="4">
        <v>168.8</v>
      </c>
      <c r="J300" s="4">
        <v>172.5</v>
      </c>
      <c r="K300" s="4">
        <v>166.5</v>
      </c>
      <c r="L300" s="4">
        <v>165.9</v>
      </c>
      <c r="M300" s="4">
        <v>115.9</v>
      </c>
      <c r="N300" s="4">
        <v>165.2</v>
      </c>
      <c r="O300" s="4">
        <v>152</v>
      </c>
      <c r="P300" s="4">
        <v>171.1</v>
      </c>
      <c r="Q300" s="4">
        <v>164.2</v>
      </c>
      <c r="R300" s="4">
        <v>198.2</v>
      </c>
      <c r="S300" s="4">
        <v>156.5</v>
      </c>
      <c r="T300" s="4">
        <v>140.19999999999999</v>
      </c>
      <c r="U300" s="4">
        <v>154.1</v>
      </c>
      <c r="V300" s="4">
        <v>161.6</v>
      </c>
      <c r="W300" s="4">
        <v>155.5</v>
      </c>
      <c r="X300" s="4">
        <v>150.1</v>
      </c>
      <c r="Y300" s="4">
        <v>160.4</v>
      </c>
      <c r="Z300" s="4">
        <v>145</v>
      </c>
      <c r="AA300" s="4">
        <v>152.6</v>
      </c>
      <c r="AB300" s="4">
        <v>156.6</v>
      </c>
      <c r="AC300" s="4">
        <v>157.5</v>
      </c>
      <c r="AD300" s="4">
        <v>152.30000000000001</v>
      </c>
      <c r="AE300" s="4">
        <v>159.5</v>
      </c>
    </row>
    <row r="301" spans="1:31" x14ac:dyDescent="0.25">
      <c r="A301" s="4" t="s">
        <v>12</v>
      </c>
      <c r="B301" s="4">
        <v>2021</v>
      </c>
      <c r="C301" s="4" t="s">
        <v>14</v>
      </c>
      <c r="D301" s="4" t="str">
        <f t="shared" si="4"/>
        <v>2021MayRural+Urban</v>
      </c>
      <c r="E301" s="4">
        <v>146.30000000000001</v>
      </c>
      <c r="F301" s="4">
        <v>200.5</v>
      </c>
      <c r="G301" s="4">
        <v>170.3</v>
      </c>
      <c r="H301" s="4">
        <v>156.1</v>
      </c>
      <c r="I301" s="4">
        <v>178.7</v>
      </c>
      <c r="J301" s="4">
        <v>167.1</v>
      </c>
      <c r="K301" s="4">
        <v>147.9</v>
      </c>
      <c r="L301" s="4">
        <v>165.4</v>
      </c>
      <c r="M301" s="4">
        <v>114.8</v>
      </c>
      <c r="N301" s="4">
        <v>168.2</v>
      </c>
      <c r="O301" s="4">
        <v>159.30000000000001</v>
      </c>
      <c r="P301" s="4">
        <v>170.4</v>
      </c>
      <c r="Q301" s="4">
        <v>160.69999999999999</v>
      </c>
      <c r="R301" s="4">
        <v>191.9</v>
      </c>
      <c r="S301" s="4">
        <v>161.80000000000001</v>
      </c>
      <c r="T301" s="4">
        <v>152.1</v>
      </c>
      <c r="U301" s="4">
        <v>160.4</v>
      </c>
      <c r="V301" s="4">
        <v>161.6</v>
      </c>
      <c r="W301" s="4">
        <v>159.4</v>
      </c>
      <c r="X301" s="4">
        <v>154.69999999999999</v>
      </c>
      <c r="Y301" s="4">
        <v>165.8</v>
      </c>
      <c r="Z301" s="4">
        <v>148.9</v>
      </c>
      <c r="AA301" s="4">
        <v>155.80000000000001</v>
      </c>
      <c r="AB301" s="4">
        <v>161.19999999999999</v>
      </c>
      <c r="AC301" s="4">
        <v>158.6</v>
      </c>
      <c r="AD301" s="4">
        <v>156.80000000000001</v>
      </c>
      <c r="AE301" s="4">
        <v>160.4</v>
      </c>
    </row>
    <row r="302" spans="1:31" x14ac:dyDescent="0.25">
      <c r="A302" s="4" t="s">
        <v>9</v>
      </c>
      <c r="B302" s="4">
        <v>2021</v>
      </c>
      <c r="C302" s="4" t="s">
        <v>17</v>
      </c>
      <c r="D302" s="4" t="str">
        <f t="shared" si="4"/>
        <v>2021JuneRural</v>
      </c>
      <c r="E302" s="4">
        <v>145.6</v>
      </c>
      <c r="F302" s="4">
        <v>200.1</v>
      </c>
      <c r="G302" s="4">
        <v>179.3</v>
      </c>
      <c r="H302" s="4">
        <v>156.1</v>
      </c>
      <c r="I302" s="4">
        <v>190.4</v>
      </c>
      <c r="J302" s="4">
        <v>158.6</v>
      </c>
      <c r="K302" s="4">
        <v>144.69999999999999</v>
      </c>
      <c r="L302" s="4">
        <v>165.5</v>
      </c>
      <c r="M302" s="4">
        <v>114.6</v>
      </c>
      <c r="N302" s="4">
        <v>170</v>
      </c>
      <c r="O302" s="4">
        <v>165.5</v>
      </c>
      <c r="P302" s="4">
        <v>171.7</v>
      </c>
      <c r="Q302" s="4">
        <v>160.5</v>
      </c>
      <c r="R302" s="4">
        <v>189.1</v>
      </c>
      <c r="S302" s="4">
        <v>165.3</v>
      </c>
      <c r="T302" s="4">
        <v>159.9</v>
      </c>
      <c r="U302" s="4">
        <v>164.6</v>
      </c>
      <c r="V302" s="4" t="s">
        <v>26</v>
      </c>
      <c r="W302" s="4">
        <v>162.1</v>
      </c>
      <c r="X302" s="4">
        <v>159.19999999999999</v>
      </c>
      <c r="Y302" s="4">
        <v>169.7</v>
      </c>
      <c r="Z302" s="4">
        <v>154.19999999999999</v>
      </c>
      <c r="AA302" s="4">
        <v>160.4</v>
      </c>
      <c r="AB302" s="4">
        <v>166.8</v>
      </c>
      <c r="AC302" s="4">
        <v>159.4</v>
      </c>
      <c r="AD302" s="4">
        <v>161.5</v>
      </c>
      <c r="AE302" s="4">
        <v>162.1</v>
      </c>
    </row>
    <row r="303" spans="1:31" x14ac:dyDescent="0.25">
      <c r="A303" s="4" t="s">
        <v>11</v>
      </c>
      <c r="B303" s="4">
        <v>2021</v>
      </c>
      <c r="C303" s="4" t="s">
        <v>17</v>
      </c>
      <c r="D303" s="4" t="str">
        <f t="shared" si="4"/>
        <v>2021JuneUrban</v>
      </c>
      <c r="E303" s="4">
        <v>149.19999999999999</v>
      </c>
      <c r="F303" s="4">
        <v>205.5</v>
      </c>
      <c r="G303" s="4">
        <v>182.8</v>
      </c>
      <c r="H303" s="4">
        <v>156.5</v>
      </c>
      <c r="I303" s="4">
        <v>172.2</v>
      </c>
      <c r="J303" s="4">
        <v>171.5</v>
      </c>
      <c r="K303" s="4">
        <v>176.2</v>
      </c>
      <c r="L303" s="4">
        <v>166.9</v>
      </c>
      <c r="M303" s="4">
        <v>116.1</v>
      </c>
      <c r="N303" s="4">
        <v>165.5</v>
      </c>
      <c r="O303" s="4">
        <v>152.30000000000001</v>
      </c>
      <c r="P303" s="4">
        <v>173.3</v>
      </c>
      <c r="Q303" s="4">
        <v>166.2</v>
      </c>
      <c r="R303" s="4">
        <v>195.6</v>
      </c>
      <c r="S303" s="4">
        <v>157.30000000000001</v>
      </c>
      <c r="T303" s="4">
        <v>140.5</v>
      </c>
      <c r="U303" s="4">
        <v>154.80000000000001</v>
      </c>
      <c r="V303" s="4">
        <v>160.5</v>
      </c>
      <c r="W303" s="4">
        <v>156.1</v>
      </c>
      <c r="X303" s="4">
        <v>149.80000000000001</v>
      </c>
      <c r="Y303" s="4">
        <v>160.80000000000001</v>
      </c>
      <c r="Z303" s="4">
        <v>147.5</v>
      </c>
      <c r="AA303" s="4">
        <v>150.69999999999999</v>
      </c>
      <c r="AB303" s="4">
        <v>158.1</v>
      </c>
      <c r="AC303" s="4">
        <v>158</v>
      </c>
      <c r="AD303" s="4">
        <v>153.4</v>
      </c>
      <c r="AE303" s="4">
        <v>160.4</v>
      </c>
    </row>
    <row r="304" spans="1:31" x14ac:dyDescent="0.25">
      <c r="A304" s="4" t="s">
        <v>12</v>
      </c>
      <c r="B304" s="4">
        <v>2021</v>
      </c>
      <c r="C304" s="4" t="s">
        <v>17</v>
      </c>
      <c r="D304" s="4" t="str">
        <f t="shared" si="4"/>
        <v>2021JuneRural+Urban</v>
      </c>
      <c r="E304" s="4">
        <v>146.69999999999999</v>
      </c>
      <c r="F304" s="4">
        <v>202</v>
      </c>
      <c r="G304" s="4">
        <v>180.7</v>
      </c>
      <c r="H304" s="4">
        <v>156.19999999999999</v>
      </c>
      <c r="I304" s="4">
        <v>183.7</v>
      </c>
      <c r="J304" s="4">
        <v>164.6</v>
      </c>
      <c r="K304" s="4">
        <v>155.4</v>
      </c>
      <c r="L304" s="4">
        <v>166</v>
      </c>
      <c r="M304" s="4">
        <v>115.1</v>
      </c>
      <c r="N304" s="4">
        <v>168.5</v>
      </c>
      <c r="O304" s="4">
        <v>160</v>
      </c>
      <c r="P304" s="4">
        <v>172.4</v>
      </c>
      <c r="Q304" s="4">
        <v>162.6</v>
      </c>
      <c r="R304" s="4">
        <v>190.8</v>
      </c>
      <c r="S304" s="4">
        <v>162.19999999999999</v>
      </c>
      <c r="T304" s="4">
        <v>151.80000000000001</v>
      </c>
      <c r="U304" s="4">
        <v>160.69999999999999</v>
      </c>
      <c r="V304" s="4">
        <v>160.5</v>
      </c>
      <c r="W304" s="4">
        <v>159.80000000000001</v>
      </c>
      <c r="X304" s="4">
        <v>154.80000000000001</v>
      </c>
      <c r="Y304" s="4">
        <v>166.3</v>
      </c>
      <c r="Z304" s="4">
        <v>150.69999999999999</v>
      </c>
      <c r="AA304" s="4">
        <v>154.9</v>
      </c>
      <c r="AB304" s="4">
        <v>161.69999999999999</v>
      </c>
      <c r="AC304" s="4">
        <v>158.80000000000001</v>
      </c>
      <c r="AD304" s="4">
        <v>157.6</v>
      </c>
      <c r="AE304" s="4">
        <v>161.30000000000001</v>
      </c>
    </row>
    <row r="305" spans="1:31" x14ac:dyDescent="0.25">
      <c r="A305" s="4" t="s">
        <v>9</v>
      </c>
      <c r="B305" s="4">
        <v>2021</v>
      </c>
      <c r="C305" s="4" t="s">
        <v>18</v>
      </c>
      <c r="D305" s="4" t="str">
        <f t="shared" si="4"/>
        <v>2021JulyRural</v>
      </c>
      <c r="E305" s="4">
        <v>145.1</v>
      </c>
      <c r="F305" s="4">
        <v>204.5</v>
      </c>
      <c r="G305" s="4">
        <v>180.4</v>
      </c>
      <c r="H305" s="4">
        <v>157.1</v>
      </c>
      <c r="I305" s="4">
        <v>188.7</v>
      </c>
      <c r="J305" s="4">
        <v>157.69999999999999</v>
      </c>
      <c r="K305" s="4">
        <v>152.80000000000001</v>
      </c>
      <c r="L305" s="4">
        <v>163.6</v>
      </c>
      <c r="M305" s="4">
        <v>113.9</v>
      </c>
      <c r="N305" s="4">
        <v>169.7</v>
      </c>
      <c r="O305" s="4">
        <v>166.2</v>
      </c>
      <c r="P305" s="4">
        <v>171</v>
      </c>
      <c r="Q305" s="4">
        <v>161.69999999999999</v>
      </c>
      <c r="R305" s="4">
        <v>189.7</v>
      </c>
      <c r="S305" s="4">
        <v>166</v>
      </c>
      <c r="T305" s="4">
        <v>161.1</v>
      </c>
      <c r="U305" s="4">
        <v>165.3</v>
      </c>
      <c r="V305" s="4" t="s">
        <v>26</v>
      </c>
      <c r="W305" s="4">
        <v>162.5</v>
      </c>
      <c r="X305" s="4">
        <v>160.30000000000001</v>
      </c>
      <c r="Y305" s="4">
        <v>170.4</v>
      </c>
      <c r="Z305" s="4">
        <v>157.1</v>
      </c>
      <c r="AA305" s="4">
        <v>160.69999999999999</v>
      </c>
      <c r="AB305" s="4">
        <v>167.2</v>
      </c>
      <c r="AC305" s="4">
        <v>160.4</v>
      </c>
      <c r="AD305" s="4">
        <v>162.80000000000001</v>
      </c>
      <c r="AE305" s="4">
        <v>163.19999999999999</v>
      </c>
    </row>
    <row r="306" spans="1:31" x14ac:dyDescent="0.25">
      <c r="A306" s="4" t="s">
        <v>11</v>
      </c>
      <c r="B306" s="4">
        <v>2021</v>
      </c>
      <c r="C306" s="4" t="s">
        <v>18</v>
      </c>
      <c r="D306" s="4" t="str">
        <f t="shared" si="4"/>
        <v>2021JulyUrban</v>
      </c>
      <c r="E306" s="4">
        <v>149.1</v>
      </c>
      <c r="F306" s="4">
        <v>210.9</v>
      </c>
      <c r="G306" s="4">
        <v>185</v>
      </c>
      <c r="H306" s="4">
        <v>158.19999999999999</v>
      </c>
      <c r="I306" s="4">
        <v>170.6</v>
      </c>
      <c r="J306" s="4">
        <v>170.9</v>
      </c>
      <c r="K306" s="4">
        <v>186.4</v>
      </c>
      <c r="L306" s="4">
        <v>164.7</v>
      </c>
      <c r="M306" s="4">
        <v>115.7</v>
      </c>
      <c r="N306" s="4">
        <v>165.5</v>
      </c>
      <c r="O306" s="4">
        <v>153.4</v>
      </c>
      <c r="P306" s="4">
        <v>173.5</v>
      </c>
      <c r="Q306" s="4">
        <v>167.9</v>
      </c>
      <c r="R306" s="4">
        <v>195.5</v>
      </c>
      <c r="S306" s="4">
        <v>157.9</v>
      </c>
      <c r="T306" s="4">
        <v>141.9</v>
      </c>
      <c r="U306" s="4">
        <v>155.5</v>
      </c>
      <c r="V306" s="4">
        <v>161.5</v>
      </c>
      <c r="W306" s="4">
        <v>157.69999999999999</v>
      </c>
      <c r="X306" s="4">
        <v>150.69999999999999</v>
      </c>
      <c r="Y306" s="4">
        <v>161.5</v>
      </c>
      <c r="Z306" s="4">
        <v>149.5</v>
      </c>
      <c r="AA306" s="4">
        <v>151.19999999999999</v>
      </c>
      <c r="AB306" s="4">
        <v>160.30000000000001</v>
      </c>
      <c r="AC306" s="4">
        <v>159.6</v>
      </c>
      <c r="AD306" s="4">
        <v>155</v>
      </c>
      <c r="AE306" s="4">
        <v>161.80000000000001</v>
      </c>
    </row>
    <row r="307" spans="1:31" x14ac:dyDescent="0.25">
      <c r="A307" s="4" t="s">
        <v>12</v>
      </c>
      <c r="B307" s="4">
        <v>2021</v>
      </c>
      <c r="C307" s="4" t="s">
        <v>18</v>
      </c>
      <c r="D307" s="4" t="str">
        <f t="shared" si="4"/>
        <v>2021JulyRural+Urban</v>
      </c>
      <c r="E307" s="4">
        <v>146.4</v>
      </c>
      <c r="F307" s="4">
        <v>206.8</v>
      </c>
      <c r="G307" s="4">
        <v>182.2</v>
      </c>
      <c r="H307" s="4">
        <v>157.5</v>
      </c>
      <c r="I307" s="4">
        <v>182.1</v>
      </c>
      <c r="J307" s="4">
        <v>163.9</v>
      </c>
      <c r="K307" s="4">
        <v>164.2</v>
      </c>
      <c r="L307" s="4">
        <v>164</v>
      </c>
      <c r="M307" s="4">
        <v>114.5</v>
      </c>
      <c r="N307" s="4">
        <v>168.3</v>
      </c>
      <c r="O307" s="4">
        <v>160.9</v>
      </c>
      <c r="P307" s="4">
        <v>172.2</v>
      </c>
      <c r="Q307" s="4">
        <v>164</v>
      </c>
      <c r="R307" s="4">
        <v>191.2</v>
      </c>
      <c r="S307" s="4">
        <v>162.80000000000001</v>
      </c>
      <c r="T307" s="4">
        <v>153.1</v>
      </c>
      <c r="U307" s="4">
        <v>161.4</v>
      </c>
      <c r="V307" s="4">
        <v>161.5</v>
      </c>
      <c r="W307" s="4">
        <v>160.69999999999999</v>
      </c>
      <c r="X307" s="4">
        <v>155.80000000000001</v>
      </c>
      <c r="Y307" s="4">
        <v>167</v>
      </c>
      <c r="Z307" s="4">
        <v>153.1</v>
      </c>
      <c r="AA307" s="4">
        <v>155.30000000000001</v>
      </c>
      <c r="AB307" s="4">
        <v>163.19999999999999</v>
      </c>
      <c r="AC307" s="4">
        <v>160.1</v>
      </c>
      <c r="AD307" s="4">
        <v>159</v>
      </c>
      <c r="AE307" s="4">
        <v>162.5</v>
      </c>
    </row>
    <row r="308" spans="1:31" x14ac:dyDescent="0.25">
      <c r="A308" s="4" t="s">
        <v>9</v>
      </c>
      <c r="B308" s="4">
        <v>2021</v>
      </c>
      <c r="C308" s="4" t="s">
        <v>19</v>
      </c>
      <c r="D308" s="4" t="str">
        <f t="shared" si="4"/>
        <v>2021AugustRural</v>
      </c>
      <c r="E308" s="4">
        <v>144.9</v>
      </c>
      <c r="F308" s="4">
        <v>202.3</v>
      </c>
      <c r="G308" s="4">
        <v>176.5</v>
      </c>
      <c r="H308" s="4">
        <v>157.5</v>
      </c>
      <c r="I308" s="4">
        <v>190.9</v>
      </c>
      <c r="J308" s="4">
        <v>155.69999999999999</v>
      </c>
      <c r="K308" s="4">
        <v>153.9</v>
      </c>
      <c r="L308" s="4">
        <v>162.80000000000001</v>
      </c>
      <c r="M308" s="4">
        <v>115.2</v>
      </c>
      <c r="N308" s="4">
        <v>169.8</v>
      </c>
      <c r="O308" s="4">
        <v>167.6</v>
      </c>
      <c r="P308" s="4">
        <v>171.9</v>
      </c>
      <c r="Q308" s="4">
        <v>161.80000000000001</v>
      </c>
      <c r="R308" s="4">
        <v>190.2</v>
      </c>
      <c r="S308" s="4">
        <v>167</v>
      </c>
      <c r="T308" s="4">
        <v>162.6</v>
      </c>
      <c r="U308" s="4">
        <v>166.3</v>
      </c>
      <c r="V308" s="4" t="s">
        <v>26</v>
      </c>
      <c r="W308" s="4">
        <v>163.1</v>
      </c>
      <c r="X308" s="4">
        <v>160.9</v>
      </c>
      <c r="Y308" s="4">
        <v>171.1</v>
      </c>
      <c r="Z308" s="4">
        <v>157.69999999999999</v>
      </c>
      <c r="AA308" s="4">
        <v>161.1</v>
      </c>
      <c r="AB308" s="4">
        <v>167.5</v>
      </c>
      <c r="AC308" s="4">
        <v>160.30000000000001</v>
      </c>
      <c r="AD308" s="4">
        <v>163.30000000000001</v>
      </c>
      <c r="AE308" s="4">
        <v>163.6</v>
      </c>
    </row>
    <row r="309" spans="1:31" x14ac:dyDescent="0.25">
      <c r="A309" s="4" t="s">
        <v>11</v>
      </c>
      <c r="B309" s="4">
        <v>2021</v>
      </c>
      <c r="C309" s="4" t="s">
        <v>19</v>
      </c>
      <c r="D309" s="4" t="str">
        <f t="shared" si="4"/>
        <v>2021AugustUrban</v>
      </c>
      <c r="E309" s="4">
        <v>149.30000000000001</v>
      </c>
      <c r="F309" s="4">
        <v>207.4</v>
      </c>
      <c r="G309" s="4">
        <v>174.1</v>
      </c>
      <c r="H309" s="4">
        <v>159.19999999999999</v>
      </c>
      <c r="I309" s="4">
        <v>175</v>
      </c>
      <c r="J309" s="4">
        <v>161.30000000000001</v>
      </c>
      <c r="K309" s="4">
        <v>183.3</v>
      </c>
      <c r="L309" s="4">
        <v>164.5</v>
      </c>
      <c r="M309" s="4">
        <v>120.4</v>
      </c>
      <c r="N309" s="4">
        <v>166.2</v>
      </c>
      <c r="O309" s="4">
        <v>154.80000000000001</v>
      </c>
      <c r="P309" s="4">
        <v>175.1</v>
      </c>
      <c r="Q309" s="4">
        <v>167.3</v>
      </c>
      <c r="R309" s="4">
        <v>196.5</v>
      </c>
      <c r="S309" s="4">
        <v>159.80000000000001</v>
      </c>
      <c r="T309" s="4">
        <v>143.6</v>
      </c>
      <c r="U309" s="4">
        <v>157.30000000000001</v>
      </c>
      <c r="V309" s="4">
        <v>162.1</v>
      </c>
      <c r="W309" s="4">
        <v>160.69999999999999</v>
      </c>
      <c r="X309" s="4">
        <v>153.19999999999999</v>
      </c>
      <c r="Y309" s="4">
        <v>162.80000000000001</v>
      </c>
      <c r="Z309" s="4">
        <v>150.4</v>
      </c>
      <c r="AA309" s="4">
        <v>153.69999999999999</v>
      </c>
      <c r="AB309" s="4">
        <v>160.4</v>
      </c>
      <c r="AC309" s="4">
        <v>159.6</v>
      </c>
      <c r="AD309" s="4">
        <v>156</v>
      </c>
      <c r="AE309" s="4">
        <v>162.30000000000001</v>
      </c>
    </row>
    <row r="310" spans="1:31" x14ac:dyDescent="0.25">
      <c r="A310" s="4" t="s">
        <v>12</v>
      </c>
      <c r="B310" s="4">
        <v>2021</v>
      </c>
      <c r="C310" s="4" t="s">
        <v>19</v>
      </c>
      <c r="D310" s="4" t="str">
        <f t="shared" si="4"/>
        <v>2021AugustRural+Urban</v>
      </c>
      <c r="E310" s="4">
        <v>146.6</v>
      </c>
      <c r="F310" s="4">
        <v>204</v>
      </c>
      <c r="G310" s="4">
        <v>172.8</v>
      </c>
      <c r="H310" s="4">
        <v>158.4</v>
      </c>
      <c r="I310" s="4">
        <v>188</v>
      </c>
      <c r="J310" s="4">
        <v>156.80000000000001</v>
      </c>
      <c r="K310" s="4">
        <v>162.19999999999999</v>
      </c>
      <c r="L310" s="4">
        <v>164.1</v>
      </c>
      <c r="M310" s="4">
        <v>119.7</v>
      </c>
      <c r="N310" s="4">
        <v>168.8</v>
      </c>
      <c r="O310" s="4">
        <v>162.69999999999999</v>
      </c>
      <c r="P310" s="4">
        <v>173.9</v>
      </c>
      <c r="Q310" s="4">
        <v>164</v>
      </c>
      <c r="R310" s="4">
        <v>192.1</v>
      </c>
      <c r="S310" s="4">
        <v>164.5</v>
      </c>
      <c r="T310" s="4">
        <v>155.30000000000001</v>
      </c>
      <c r="U310" s="4">
        <v>163.19999999999999</v>
      </c>
      <c r="V310" s="4">
        <v>162.1</v>
      </c>
      <c r="W310" s="4">
        <v>162.6</v>
      </c>
      <c r="X310" s="4">
        <v>157.5</v>
      </c>
      <c r="Y310" s="4">
        <v>168.4</v>
      </c>
      <c r="Z310" s="4">
        <v>154</v>
      </c>
      <c r="AA310" s="4">
        <v>157.6</v>
      </c>
      <c r="AB310" s="4">
        <v>163.80000000000001</v>
      </c>
      <c r="AC310" s="4">
        <v>160</v>
      </c>
      <c r="AD310" s="4">
        <v>160</v>
      </c>
      <c r="AE310" s="4">
        <v>163.19999999999999</v>
      </c>
    </row>
    <row r="311" spans="1:31" x14ac:dyDescent="0.25">
      <c r="A311" s="4" t="s">
        <v>9</v>
      </c>
      <c r="B311" s="4">
        <v>2021</v>
      </c>
      <c r="C311" s="4" t="s">
        <v>20</v>
      </c>
      <c r="D311" s="4" t="str">
        <f t="shared" si="4"/>
        <v>2021SeptemberRural</v>
      </c>
      <c r="E311" s="4">
        <v>145.4</v>
      </c>
      <c r="F311" s="4">
        <v>202.1</v>
      </c>
      <c r="G311" s="4">
        <v>172</v>
      </c>
      <c r="H311" s="4">
        <v>158</v>
      </c>
      <c r="I311" s="4">
        <v>195.5</v>
      </c>
      <c r="J311" s="4">
        <v>152.69999999999999</v>
      </c>
      <c r="K311" s="4">
        <v>151.4</v>
      </c>
      <c r="L311" s="4">
        <v>163.9</v>
      </c>
      <c r="M311" s="4">
        <v>119.3</v>
      </c>
      <c r="N311" s="4">
        <v>170.1</v>
      </c>
      <c r="O311" s="4">
        <v>168.3</v>
      </c>
      <c r="P311" s="4">
        <v>172.8</v>
      </c>
      <c r="Q311" s="4">
        <v>162.1</v>
      </c>
      <c r="R311" s="4">
        <v>190.5</v>
      </c>
      <c r="S311" s="4">
        <v>167.7</v>
      </c>
      <c r="T311" s="4">
        <v>163.6</v>
      </c>
      <c r="U311" s="4">
        <v>167.1</v>
      </c>
      <c r="V311" s="4" t="s">
        <v>26</v>
      </c>
      <c r="W311" s="4">
        <v>163.69999999999999</v>
      </c>
      <c r="X311" s="4">
        <v>161.30000000000001</v>
      </c>
      <c r="Y311" s="4">
        <v>171.9</v>
      </c>
      <c r="Z311" s="4">
        <v>157.80000000000001</v>
      </c>
      <c r="AA311" s="4">
        <v>162.69999999999999</v>
      </c>
      <c r="AB311" s="4">
        <v>168.5</v>
      </c>
      <c r="AC311" s="4">
        <v>160.19999999999999</v>
      </c>
      <c r="AD311" s="4">
        <v>163.80000000000001</v>
      </c>
      <c r="AE311" s="4">
        <v>164</v>
      </c>
    </row>
    <row r="312" spans="1:31" x14ac:dyDescent="0.25">
      <c r="A312" s="4" t="s">
        <v>11</v>
      </c>
      <c r="B312" s="4">
        <v>2021</v>
      </c>
      <c r="C312" s="4" t="s">
        <v>20</v>
      </c>
      <c r="D312" s="4" t="str">
        <f t="shared" si="4"/>
        <v>2021SeptemberUrban</v>
      </c>
      <c r="E312" s="4">
        <v>149.30000000000001</v>
      </c>
      <c r="F312" s="4">
        <v>207.4</v>
      </c>
      <c r="G312" s="4">
        <v>174.1</v>
      </c>
      <c r="H312" s="4">
        <v>159.1</v>
      </c>
      <c r="I312" s="4">
        <v>175</v>
      </c>
      <c r="J312" s="4">
        <v>161.19999999999999</v>
      </c>
      <c r="K312" s="4">
        <v>183.5</v>
      </c>
      <c r="L312" s="4">
        <v>164.5</v>
      </c>
      <c r="M312" s="4">
        <v>120.4</v>
      </c>
      <c r="N312" s="4">
        <v>166.2</v>
      </c>
      <c r="O312" s="4">
        <v>154.80000000000001</v>
      </c>
      <c r="P312" s="4">
        <v>175.1</v>
      </c>
      <c r="Q312" s="4">
        <v>167.3</v>
      </c>
      <c r="R312" s="4">
        <v>196.5</v>
      </c>
      <c r="S312" s="4">
        <v>159.80000000000001</v>
      </c>
      <c r="T312" s="4">
        <v>143.6</v>
      </c>
      <c r="U312" s="4">
        <v>157.4</v>
      </c>
      <c r="V312" s="4">
        <v>162.1</v>
      </c>
      <c r="W312" s="4">
        <v>160.80000000000001</v>
      </c>
      <c r="X312" s="4">
        <v>153.30000000000001</v>
      </c>
      <c r="Y312" s="4">
        <v>162.80000000000001</v>
      </c>
      <c r="Z312" s="4">
        <v>150.5</v>
      </c>
      <c r="AA312" s="4">
        <v>153.9</v>
      </c>
      <c r="AB312" s="4">
        <v>160.30000000000001</v>
      </c>
      <c r="AC312" s="4">
        <v>159.6</v>
      </c>
      <c r="AD312" s="4">
        <v>156</v>
      </c>
      <c r="AE312" s="4">
        <v>162.30000000000001</v>
      </c>
    </row>
    <row r="313" spans="1:31" x14ac:dyDescent="0.25">
      <c r="A313" s="4" t="s">
        <v>12</v>
      </c>
      <c r="B313" s="4">
        <v>2021</v>
      </c>
      <c r="C313" s="4" t="s">
        <v>20</v>
      </c>
      <c r="D313" s="4" t="str">
        <f t="shared" si="4"/>
        <v>2021SeptemberRural+Urban</v>
      </c>
      <c r="E313" s="4">
        <v>146.6</v>
      </c>
      <c r="F313" s="4">
        <v>204</v>
      </c>
      <c r="G313" s="4">
        <v>172.8</v>
      </c>
      <c r="H313" s="4">
        <v>158.4</v>
      </c>
      <c r="I313" s="4">
        <v>188</v>
      </c>
      <c r="J313" s="4">
        <v>156.69999999999999</v>
      </c>
      <c r="K313" s="4">
        <v>162.30000000000001</v>
      </c>
      <c r="L313" s="4">
        <v>164.1</v>
      </c>
      <c r="M313" s="4">
        <v>119.7</v>
      </c>
      <c r="N313" s="4">
        <v>168.8</v>
      </c>
      <c r="O313" s="4">
        <v>162.69999999999999</v>
      </c>
      <c r="P313" s="4">
        <v>173.9</v>
      </c>
      <c r="Q313" s="4">
        <v>164</v>
      </c>
      <c r="R313" s="4">
        <v>192.1</v>
      </c>
      <c r="S313" s="4">
        <v>164.6</v>
      </c>
      <c r="T313" s="4">
        <v>155.30000000000001</v>
      </c>
      <c r="U313" s="4">
        <v>163.30000000000001</v>
      </c>
      <c r="V313" s="4">
        <v>162.1</v>
      </c>
      <c r="W313" s="4">
        <v>162.6</v>
      </c>
      <c r="X313" s="4">
        <v>157.5</v>
      </c>
      <c r="Y313" s="4">
        <v>168.4</v>
      </c>
      <c r="Z313" s="4">
        <v>154</v>
      </c>
      <c r="AA313" s="4">
        <v>157.69999999999999</v>
      </c>
      <c r="AB313" s="4">
        <v>163.69999999999999</v>
      </c>
      <c r="AC313" s="4">
        <v>160</v>
      </c>
      <c r="AD313" s="4">
        <v>160</v>
      </c>
      <c r="AE313" s="4">
        <v>163.19999999999999</v>
      </c>
    </row>
    <row r="314" spans="1:31" x14ac:dyDescent="0.25">
      <c r="A314" s="4" t="s">
        <v>9</v>
      </c>
      <c r="B314" s="4">
        <v>2021</v>
      </c>
      <c r="C314" s="4" t="s">
        <v>21</v>
      </c>
      <c r="D314" s="4" t="str">
        <f t="shared" si="4"/>
        <v>2021OctoberRural</v>
      </c>
      <c r="E314" s="4">
        <v>146.1</v>
      </c>
      <c r="F314" s="4">
        <v>202.5</v>
      </c>
      <c r="G314" s="4">
        <v>170.1</v>
      </c>
      <c r="H314" s="4">
        <v>158.4</v>
      </c>
      <c r="I314" s="4">
        <v>198.8</v>
      </c>
      <c r="J314" s="4">
        <v>152.6</v>
      </c>
      <c r="K314" s="4">
        <v>170.4</v>
      </c>
      <c r="L314" s="4">
        <v>165.2</v>
      </c>
      <c r="M314" s="4">
        <v>121.6</v>
      </c>
      <c r="N314" s="4">
        <v>170.6</v>
      </c>
      <c r="O314" s="4">
        <v>168.8</v>
      </c>
      <c r="P314" s="4">
        <v>173.6</v>
      </c>
      <c r="Q314" s="4">
        <v>165.5</v>
      </c>
      <c r="R314" s="4">
        <v>191.2</v>
      </c>
      <c r="S314" s="4">
        <v>168.9</v>
      </c>
      <c r="T314" s="4">
        <v>164.8</v>
      </c>
      <c r="U314" s="4">
        <v>168.3</v>
      </c>
      <c r="V314" s="4" t="s">
        <v>26</v>
      </c>
      <c r="W314" s="4">
        <v>165.5</v>
      </c>
      <c r="X314" s="4">
        <v>162</v>
      </c>
      <c r="Y314" s="4">
        <v>172.5</v>
      </c>
      <c r="Z314" s="4">
        <v>159.5</v>
      </c>
      <c r="AA314" s="4">
        <v>163.19999999999999</v>
      </c>
      <c r="AB314" s="4">
        <v>169</v>
      </c>
      <c r="AC314" s="4">
        <v>161.1</v>
      </c>
      <c r="AD314" s="4">
        <v>164.7</v>
      </c>
      <c r="AE314" s="4">
        <v>166.3</v>
      </c>
    </row>
    <row r="315" spans="1:31" x14ac:dyDescent="0.25">
      <c r="A315" s="4" t="s">
        <v>11</v>
      </c>
      <c r="B315" s="4">
        <v>2021</v>
      </c>
      <c r="C315" s="4" t="s">
        <v>21</v>
      </c>
      <c r="D315" s="4" t="str">
        <f t="shared" si="4"/>
        <v>2021OctoberUrban</v>
      </c>
      <c r="E315" s="4">
        <v>150.1</v>
      </c>
      <c r="F315" s="4">
        <v>208.4</v>
      </c>
      <c r="G315" s="4">
        <v>173</v>
      </c>
      <c r="H315" s="4">
        <v>159.19999999999999</v>
      </c>
      <c r="I315" s="4">
        <v>176.6</v>
      </c>
      <c r="J315" s="4">
        <v>159.30000000000001</v>
      </c>
      <c r="K315" s="4">
        <v>214.4</v>
      </c>
      <c r="L315" s="4">
        <v>165.3</v>
      </c>
      <c r="M315" s="4">
        <v>122.5</v>
      </c>
      <c r="N315" s="4">
        <v>166.8</v>
      </c>
      <c r="O315" s="4">
        <v>155.4</v>
      </c>
      <c r="P315" s="4">
        <v>175.9</v>
      </c>
      <c r="Q315" s="4">
        <v>171.5</v>
      </c>
      <c r="R315" s="4">
        <v>197</v>
      </c>
      <c r="S315" s="4">
        <v>160.80000000000001</v>
      </c>
      <c r="T315" s="4">
        <v>144.4</v>
      </c>
      <c r="U315" s="4">
        <v>158.30000000000001</v>
      </c>
      <c r="V315" s="4">
        <v>163.6</v>
      </c>
      <c r="W315" s="4">
        <v>162.19999999999999</v>
      </c>
      <c r="X315" s="4">
        <v>154.30000000000001</v>
      </c>
      <c r="Y315" s="4">
        <v>163.5</v>
      </c>
      <c r="Z315" s="4">
        <v>152.19999999999999</v>
      </c>
      <c r="AA315" s="4">
        <v>155.1</v>
      </c>
      <c r="AB315" s="4">
        <v>160.30000000000001</v>
      </c>
      <c r="AC315" s="4">
        <v>160.30000000000001</v>
      </c>
      <c r="AD315" s="4">
        <v>157</v>
      </c>
      <c r="AE315" s="4">
        <v>164.6</v>
      </c>
    </row>
    <row r="316" spans="1:31" x14ac:dyDescent="0.25">
      <c r="A316" s="4" t="s">
        <v>12</v>
      </c>
      <c r="B316" s="4">
        <v>2021</v>
      </c>
      <c r="C316" s="4" t="s">
        <v>21</v>
      </c>
      <c r="D316" s="4" t="str">
        <f t="shared" si="4"/>
        <v>2021OctoberRural+Urban</v>
      </c>
      <c r="E316" s="4">
        <v>147.4</v>
      </c>
      <c r="F316" s="4">
        <v>204.6</v>
      </c>
      <c r="G316" s="4">
        <v>171.2</v>
      </c>
      <c r="H316" s="4">
        <v>158.69999999999999</v>
      </c>
      <c r="I316" s="4">
        <v>190.6</v>
      </c>
      <c r="J316" s="4">
        <v>155.69999999999999</v>
      </c>
      <c r="K316" s="4">
        <v>185.3</v>
      </c>
      <c r="L316" s="4">
        <v>165.2</v>
      </c>
      <c r="M316" s="4">
        <v>121.9</v>
      </c>
      <c r="N316" s="4">
        <v>169.3</v>
      </c>
      <c r="O316" s="4">
        <v>163.19999999999999</v>
      </c>
      <c r="P316" s="4">
        <v>174.7</v>
      </c>
      <c r="Q316" s="4">
        <v>167.7</v>
      </c>
      <c r="R316" s="4">
        <v>192.7</v>
      </c>
      <c r="S316" s="4">
        <v>165.7</v>
      </c>
      <c r="T316" s="4">
        <v>156.30000000000001</v>
      </c>
      <c r="U316" s="4">
        <v>164.3</v>
      </c>
      <c r="V316" s="4">
        <v>163.6</v>
      </c>
      <c r="W316" s="4">
        <v>164.2</v>
      </c>
      <c r="X316" s="4">
        <v>158.4</v>
      </c>
      <c r="Y316" s="4">
        <v>169.1</v>
      </c>
      <c r="Z316" s="4">
        <v>155.69999999999999</v>
      </c>
      <c r="AA316" s="4">
        <v>158.6</v>
      </c>
      <c r="AB316" s="4">
        <v>163.9</v>
      </c>
      <c r="AC316" s="4">
        <v>160.80000000000001</v>
      </c>
      <c r="AD316" s="4">
        <v>161</v>
      </c>
      <c r="AE316" s="4">
        <v>165.5</v>
      </c>
    </row>
    <row r="317" spans="1:31" x14ac:dyDescent="0.25">
      <c r="A317" s="4" t="s">
        <v>9</v>
      </c>
      <c r="B317" s="4">
        <v>2021</v>
      </c>
      <c r="C317" s="4" t="s">
        <v>23</v>
      </c>
      <c r="D317" s="4" t="str">
        <f t="shared" si="4"/>
        <v>2021NovemberRural</v>
      </c>
      <c r="E317" s="4">
        <v>146.9</v>
      </c>
      <c r="F317" s="4">
        <v>199.8</v>
      </c>
      <c r="G317" s="4">
        <v>171.5</v>
      </c>
      <c r="H317" s="4">
        <v>159.1</v>
      </c>
      <c r="I317" s="4">
        <v>198.4</v>
      </c>
      <c r="J317" s="4">
        <v>153.19999999999999</v>
      </c>
      <c r="K317" s="4">
        <v>183.9</v>
      </c>
      <c r="L317" s="4">
        <v>165.4</v>
      </c>
      <c r="M317" s="4">
        <v>122.1</v>
      </c>
      <c r="N317" s="4">
        <v>170.8</v>
      </c>
      <c r="O317" s="4">
        <v>169.1</v>
      </c>
      <c r="P317" s="4">
        <v>174.3</v>
      </c>
      <c r="Q317" s="4">
        <v>167.5</v>
      </c>
      <c r="R317" s="4">
        <v>191.4</v>
      </c>
      <c r="S317" s="4">
        <v>170.4</v>
      </c>
      <c r="T317" s="4">
        <v>166</v>
      </c>
      <c r="U317" s="4">
        <v>169.8</v>
      </c>
      <c r="V317" s="4" t="s">
        <v>26</v>
      </c>
      <c r="W317" s="4">
        <v>165.3</v>
      </c>
      <c r="X317" s="4">
        <v>162.9</v>
      </c>
      <c r="Y317" s="4">
        <v>173.4</v>
      </c>
      <c r="Z317" s="4">
        <v>158.9</v>
      </c>
      <c r="AA317" s="4">
        <v>163.80000000000001</v>
      </c>
      <c r="AB317" s="4">
        <v>169.3</v>
      </c>
      <c r="AC317" s="4">
        <v>162.4</v>
      </c>
      <c r="AD317" s="4">
        <v>165.2</v>
      </c>
      <c r="AE317" s="4">
        <v>167.6</v>
      </c>
    </row>
    <row r="318" spans="1:31" x14ac:dyDescent="0.25">
      <c r="A318" s="4" t="s">
        <v>11</v>
      </c>
      <c r="B318" s="4">
        <v>2021</v>
      </c>
      <c r="C318" s="4" t="s">
        <v>23</v>
      </c>
      <c r="D318" s="4" t="str">
        <f t="shared" si="4"/>
        <v>2021NovemberUrban</v>
      </c>
      <c r="E318" s="4">
        <v>151</v>
      </c>
      <c r="F318" s="4">
        <v>204.9</v>
      </c>
      <c r="G318" s="4">
        <v>175.4</v>
      </c>
      <c r="H318" s="4">
        <v>159.6</v>
      </c>
      <c r="I318" s="4">
        <v>175.8</v>
      </c>
      <c r="J318" s="4">
        <v>160.30000000000001</v>
      </c>
      <c r="K318" s="4">
        <v>229.1</v>
      </c>
      <c r="L318" s="4">
        <v>165.1</v>
      </c>
      <c r="M318" s="4">
        <v>123.1</v>
      </c>
      <c r="N318" s="4">
        <v>167.2</v>
      </c>
      <c r="O318" s="4">
        <v>156.1</v>
      </c>
      <c r="P318" s="4">
        <v>176.8</v>
      </c>
      <c r="Q318" s="4">
        <v>173.5</v>
      </c>
      <c r="R318" s="4">
        <v>197</v>
      </c>
      <c r="S318" s="4">
        <v>162.30000000000001</v>
      </c>
      <c r="T318" s="4">
        <v>145.30000000000001</v>
      </c>
      <c r="U318" s="4">
        <v>159.69999999999999</v>
      </c>
      <c r="V318" s="4">
        <v>164.2</v>
      </c>
      <c r="W318" s="4">
        <v>161.6</v>
      </c>
      <c r="X318" s="4">
        <v>155.19999999999999</v>
      </c>
      <c r="Y318" s="4">
        <v>164.2</v>
      </c>
      <c r="Z318" s="4">
        <v>151.19999999999999</v>
      </c>
      <c r="AA318" s="4">
        <v>156.69999999999999</v>
      </c>
      <c r="AB318" s="4">
        <v>160.80000000000001</v>
      </c>
      <c r="AC318" s="4">
        <v>161.80000000000001</v>
      </c>
      <c r="AD318" s="4">
        <v>157.30000000000001</v>
      </c>
      <c r="AE318" s="4">
        <v>165.6</v>
      </c>
    </row>
    <row r="319" spans="1:31" x14ac:dyDescent="0.25">
      <c r="A319" s="4" t="s">
        <v>12</v>
      </c>
      <c r="B319" s="4">
        <v>2021</v>
      </c>
      <c r="C319" s="4" t="s">
        <v>23</v>
      </c>
      <c r="D319" s="4" t="str">
        <f t="shared" si="4"/>
        <v>2021NovemberRural+Urban</v>
      </c>
      <c r="E319" s="4">
        <v>148.19999999999999</v>
      </c>
      <c r="F319" s="4">
        <v>201.6</v>
      </c>
      <c r="G319" s="4">
        <v>173</v>
      </c>
      <c r="H319" s="4">
        <v>159.30000000000001</v>
      </c>
      <c r="I319" s="4">
        <v>190.1</v>
      </c>
      <c r="J319" s="4">
        <v>156.5</v>
      </c>
      <c r="K319" s="4">
        <v>199.2</v>
      </c>
      <c r="L319" s="4">
        <v>165.3</v>
      </c>
      <c r="M319" s="4">
        <v>122.4</v>
      </c>
      <c r="N319" s="4">
        <v>169.6</v>
      </c>
      <c r="O319" s="4">
        <v>163.69999999999999</v>
      </c>
      <c r="P319" s="4">
        <v>175.5</v>
      </c>
      <c r="Q319" s="4">
        <v>169.7</v>
      </c>
      <c r="R319" s="4">
        <v>192.9</v>
      </c>
      <c r="S319" s="4">
        <v>167.2</v>
      </c>
      <c r="T319" s="4">
        <v>157.4</v>
      </c>
      <c r="U319" s="4">
        <v>165.8</v>
      </c>
      <c r="V319" s="4">
        <v>164.2</v>
      </c>
      <c r="W319" s="4">
        <v>163.9</v>
      </c>
      <c r="X319" s="4">
        <v>159.30000000000001</v>
      </c>
      <c r="Y319" s="4">
        <v>169.9</v>
      </c>
      <c r="Z319" s="4">
        <v>154.80000000000001</v>
      </c>
      <c r="AA319" s="4">
        <v>159.80000000000001</v>
      </c>
      <c r="AB319" s="4">
        <v>164.3</v>
      </c>
      <c r="AC319" s="4">
        <v>162.19999999999999</v>
      </c>
      <c r="AD319" s="4">
        <v>161.4</v>
      </c>
      <c r="AE319" s="4">
        <v>166.7</v>
      </c>
    </row>
    <row r="320" spans="1:31" x14ac:dyDescent="0.25">
      <c r="A320" s="4" t="s">
        <v>9</v>
      </c>
      <c r="B320" s="4">
        <v>2021</v>
      </c>
      <c r="C320" s="4" t="s">
        <v>24</v>
      </c>
      <c r="D320" s="4" t="str">
        <f t="shared" si="4"/>
        <v>2021DecemberRural</v>
      </c>
      <c r="E320" s="4">
        <v>147.4</v>
      </c>
      <c r="F320" s="4">
        <v>197</v>
      </c>
      <c r="G320" s="4">
        <v>176.5</v>
      </c>
      <c r="H320" s="4">
        <v>159.80000000000001</v>
      </c>
      <c r="I320" s="4">
        <v>195.8</v>
      </c>
      <c r="J320" s="4">
        <v>152</v>
      </c>
      <c r="K320" s="4">
        <v>172.3</v>
      </c>
      <c r="L320" s="4">
        <v>164.5</v>
      </c>
      <c r="M320" s="4">
        <v>120.6</v>
      </c>
      <c r="N320" s="4">
        <v>171.7</v>
      </c>
      <c r="O320" s="4">
        <v>169.7</v>
      </c>
      <c r="P320" s="4">
        <v>175.1</v>
      </c>
      <c r="Q320" s="4">
        <v>165.8</v>
      </c>
      <c r="R320" s="4">
        <v>190.8</v>
      </c>
      <c r="S320" s="4">
        <v>171.8</v>
      </c>
      <c r="T320" s="4">
        <v>167.3</v>
      </c>
      <c r="U320" s="4">
        <v>171.2</v>
      </c>
      <c r="V320" s="4" t="s">
        <v>26</v>
      </c>
      <c r="W320" s="4">
        <v>165.6</v>
      </c>
      <c r="X320" s="4">
        <v>163.9</v>
      </c>
      <c r="Y320" s="4">
        <v>174</v>
      </c>
      <c r="Z320" s="4">
        <v>160.1</v>
      </c>
      <c r="AA320" s="4">
        <v>164.5</v>
      </c>
      <c r="AB320" s="4">
        <v>169.7</v>
      </c>
      <c r="AC320" s="4">
        <v>162.80000000000001</v>
      </c>
      <c r="AD320" s="4">
        <v>166</v>
      </c>
      <c r="AE320" s="4">
        <v>167</v>
      </c>
    </row>
    <row r="321" spans="1:31" x14ac:dyDescent="0.25">
      <c r="A321" s="4" t="s">
        <v>11</v>
      </c>
      <c r="B321" s="4">
        <v>2021</v>
      </c>
      <c r="C321" s="4" t="s">
        <v>24</v>
      </c>
      <c r="D321" s="4" t="str">
        <f t="shared" si="4"/>
        <v>2021DecemberUrban</v>
      </c>
      <c r="E321" s="4">
        <v>151.6</v>
      </c>
      <c r="F321" s="4">
        <v>202.2</v>
      </c>
      <c r="G321" s="4">
        <v>180</v>
      </c>
      <c r="H321" s="4">
        <v>160</v>
      </c>
      <c r="I321" s="4">
        <v>173.5</v>
      </c>
      <c r="J321" s="4">
        <v>158.30000000000001</v>
      </c>
      <c r="K321" s="4">
        <v>219.5</v>
      </c>
      <c r="L321" s="4">
        <v>164.2</v>
      </c>
      <c r="M321" s="4">
        <v>121.9</v>
      </c>
      <c r="N321" s="4">
        <v>168.2</v>
      </c>
      <c r="O321" s="4">
        <v>156.5</v>
      </c>
      <c r="P321" s="4">
        <v>178.2</v>
      </c>
      <c r="Q321" s="4">
        <v>172.2</v>
      </c>
      <c r="R321" s="4">
        <v>196.8</v>
      </c>
      <c r="S321" s="4">
        <v>163.30000000000001</v>
      </c>
      <c r="T321" s="4">
        <v>146.69999999999999</v>
      </c>
      <c r="U321" s="4">
        <v>160.69999999999999</v>
      </c>
      <c r="V321" s="4">
        <v>163.4</v>
      </c>
      <c r="W321" s="4">
        <v>161.69999999999999</v>
      </c>
      <c r="X321" s="4">
        <v>156</v>
      </c>
      <c r="Y321" s="4">
        <v>165.1</v>
      </c>
      <c r="Z321" s="4">
        <v>151.80000000000001</v>
      </c>
      <c r="AA321" s="4">
        <v>157.6</v>
      </c>
      <c r="AB321" s="4">
        <v>160.6</v>
      </c>
      <c r="AC321" s="4">
        <v>162.4</v>
      </c>
      <c r="AD321" s="4">
        <v>157.80000000000001</v>
      </c>
      <c r="AE321" s="4">
        <v>165.2</v>
      </c>
    </row>
    <row r="322" spans="1:31" x14ac:dyDescent="0.25">
      <c r="A322" s="4" t="s">
        <v>12</v>
      </c>
      <c r="B322" s="4">
        <v>2021</v>
      </c>
      <c r="C322" s="4" t="s">
        <v>24</v>
      </c>
      <c r="D322" s="4" t="str">
        <f t="shared" si="4"/>
        <v>2021DecemberRural+Urban</v>
      </c>
      <c r="E322" s="4">
        <v>148.69999999999999</v>
      </c>
      <c r="F322" s="4">
        <v>198.8</v>
      </c>
      <c r="G322" s="4">
        <v>177.9</v>
      </c>
      <c r="H322" s="4">
        <v>159.9</v>
      </c>
      <c r="I322" s="4">
        <v>187.6</v>
      </c>
      <c r="J322" s="4">
        <v>154.9</v>
      </c>
      <c r="K322" s="4">
        <v>188.3</v>
      </c>
      <c r="L322" s="4">
        <v>164.4</v>
      </c>
      <c r="M322" s="4">
        <v>121</v>
      </c>
      <c r="N322" s="4">
        <v>170.5</v>
      </c>
      <c r="O322" s="4">
        <v>164.2</v>
      </c>
      <c r="P322" s="4">
        <v>176.5</v>
      </c>
      <c r="Q322" s="4">
        <v>168.2</v>
      </c>
      <c r="R322" s="4">
        <v>192.4</v>
      </c>
      <c r="S322" s="4">
        <v>168.5</v>
      </c>
      <c r="T322" s="4">
        <v>158.69999999999999</v>
      </c>
      <c r="U322" s="4">
        <v>167</v>
      </c>
      <c r="V322" s="4">
        <v>163.4</v>
      </c>
      <c r="W322" s="4">
        <v>164.1</v>
      </c>
      <c r="X322" s="4">
        <v>160.19999999999999</v>
      </c>
      <c r="Y322" s="4">
        <v>170.6</v>
      </c>
      <c r="Z322" s="4">
        <v>155.69999999999999</v>
      </c>
      <c r="AA322" s="4">
        <v>160.6</v>
      </c>
      <c r="AB322" s="4">
        <v>164.4</v>
      </c>
      <c r="AC322" s="4">
        <v>162.6</v>
      </c>
      <c r="AD322" s="4">
        <v>162</v>
      </c>
      <c r="AE322" s="4">
        <v>166.2</v>
      </c>
    </row>
    <row r="323" spans="1:31" x14ac:dyDescent="0.25">
      <c r="A323" s="4" t="s">
        <v>9</v>
      </c>
      <c r="B323" s="4">
        <v>2022</v>
      </c>
      <c r="C323" s="4" t="s">
        <v>10</v>
      </c>
      <c r="D323" s="4" t="str">
        <f t="shared" ref="D323:D373" si="5">B323&amp;C323&amp;A323</f>
        <v>2022JanuaryRural</v>
      </c>
      <c r="E323" s="4">
        <v>148.30000000000001</v>
      </c>
      <c r="F323" s="4">
        <v>196.9</v>
      </c>
      <c r="G323" s="4">
        <v>178</v>
      </c>
      <c r="H323" s="4">
        <v>160.5</v>
      </c>
      <c r="I323" s="4">
        <v>192.6</v>
      </c>
      <c r="J323" s="4">
        <v>151.19999999999999</v>
      </c>
      <c r="K323" s="4">
        <v>159.19999999999999</v>
      </c>
      <c r="L323" s="4">
        <v>164</v>
      </c>
      <c r="M323" s="4">
        <v>119.3</v>
      </c>
      <c r="N323" s="4">
        <v>173.3</v>
      </c>
      <c r="O323" s="4">
        <v>169.8</v>
      </c>
      <c r="P323" s="4">
        <v>175.8</v>
      </c>
      <c r="Q323" s="4">
        <v>164.1</v>
      </c>
      <c r="R323" s="4">
        <v>190.7</v>
      </c>
      <c r="S323" s="4">
        <v>173.2</v>
      </c>
      <c r="T323" s="4">
        <v>169.3</v>
      </c>
      <c r="U323" s="4">
        <v>172.7</v>
      </c>
      <c r="V323" s="4" t="s">
        <v>26</v>
      </c>
      <c r="W323" s="4">
        <v>165.8</v>
      </c>
      <c r="X323" s="4">
        <v>164.9</v>
      </c>
      <c r="Y323" s="4">
        <v>174.7</v>
      </c>
      <c r="Z323" s="4">
        <v>160.80000000000001</v>
      </c>
      <c r="AA323" s="4">
        <v>164.9</v>
      </c>
      <c r="AB323" s="4">
        <v>169.9</v>
      </c>
      <c r="AC323" s="4">
        <v>163.19999999999999</v>
      </c>
      <c r="AD323" s="4">
        <v>166.6</v>
      </c>
      <c r="AE323" s="4">
        <v>166.4</v>
      </c>
    </row>
    <row r="324" spans="1:31" x14ac:dyDescent="0.25">
      <c r="A324" s="4" t="s">
        <v>11</v>
      </c>
      <c r="B324" s="4">
        <v>2022</v>
      </c>
      <c r="C324" s="4" t="s">
        <v>10</v>
      </c>
      <c r="D324" s="4" t="str">
        <f t="shared" si="5"/>
        <v>2022JanuaryUrban</v>
      </c>
      <c r="E324" s="4">
        <v>152.19999999999999</v>
      </c>
      <c r="F324" s="4">
        <v>202.1</v>
      </c>
      <c r="G324" s="4">
        <v>180.1</v>
      </c>
      <c r="H324" s="4">
        <v>160.4</v>
      </c>
      <c r="I324" s="4">
        <v>171</v>
      </c>
      <c r="J324" s="4">
        <v>156.5</v>
      </c>
      <c r="K324" s="4">
        <v>203.6</v>
      </c>
      <c r="L324" s="4">
        <v>163.80000000000001</v>
      </c>
      <c r="M324" s="4">
        <v>121.3</v>
      </c>
      <c r="N324" s="4">
        <v>169.8</v>
      </c>
      <c r="O324" s="4">
        <v>156.6</v>
      </c>
      <c r="P324" s="4">
        <v>179</v>
      </c>
      <c r="Q324" s="4">
        <v>170.3</v>
      </c>
      <c r="R324" s="4">
        <v>196.4</v>
      </c>
      <c r="S324" s="4">
        <v>164.7</v>
      </c>
      <c r="T324" s="4">
        <v>148.5</v>
      </c>
      <c r="U324" s="4">
        <v>162.19999999999999</v>
      </c>
      <c r="V324" s="4">
        <v>164.5</v>
      </c>
      <c r="W324" s="4">
        <v>161.6</v>
      </c>
      <c r="X324" s="4">
        <v>156.80000000000001</v>
      </c>
      <c r="Y324" s="4">
        <v>166.1</v>
      </c>
      <c r="Z324" s="4">
        <v>152.69999999999999</v>
      </c>
      <c r="AA324" s="4">
        <v>158.4</v>
      </c>
      <c r="AB324" s="4">
        <v>161</v>
      </c>
      <c r="AC324" s="4">
        <v>162.80000000000001</v>
      </c>
      <c r="AD324" s="4">
        <v>158.6</v>
      </c>
      <c r="AE324" s="4">
        <v>165</v>
      </c>
    </row>
    <row r="325" spans="1:31" x14ac:dyDescent="0.25">
      <c r="A325" s="4" t="s">
        <v>12</v>
      </c>
      <c r="B325" s="4">
        <v>2022</v>
      </c>
      <c r="C325" s="4" t="s">
        <v>10</v>
      </c>
      <c r="D325" s="4" t="str">
        <f t="shared" si="5"/>
        <v>2022JanuaryRural+Urban</v>
      </c>
      <c r="E325" s="4">
        <v>149.5</v>
      </c>
      <c r="F325" s="4">
        <v>198.7</v>
      </c>
      <c r="G325" s="4">
        <v>178.8</v>
      </c>
      <c r="H325" s="4">
        <v>160.5</v>
      </c>
      <c r="I325" s="4">
        <v>184.7</v>
      </c>
      <c r="J325" s="4">
        <v>153.69999999999999</v>
      </c>
      <c r="K325" s="4">
        <v>174.3</v>
      </c>
      <c r="L325" s="4">
        <v>163.9</v>
      </c>
      <c r="M325" s="4">
        <v>120</v>
      </c>
      <c r="N325" s="4">
        <v>172.1</v>
      </c>
      <c r="O325" s="4">
        <v>164.3</v>
      </c>
      <c r="P325" s="4">
        <v>177.3</v>
      </c>
      <c r="Q325" s="4">
        <v>166.4</v>
      </c>
      <c r="R325" s="4">
        <v>192.2</v>
      </c>
      <c r="S325" s="4">
        <v>169.9</v>
      </c>
      <c r="T325" s="4">
        <v>160.69999999999999</v>
      </c>
      <c r="U325" s="4">
        <v>168.5</v>
      </c>
      <c r="V325" s="4">
        <v>164.5</v>
      </c>
      <c r="W325" s="4">
        <v>164.2</v>
      </c>
      <c r="X325" s="4">
        <v>161.1</v>
      </c>
      <c r="Y325" s="4">
        <v>171.4</v>
      </c>
      <c r="Z325" s="4">
        <v>156.5</v>
      </c>
      <c r="AA325" s="4">
        <v>161.19999999999999</v>
      </c>
      <c r="AB325" s="4">
        <v>164.7</v>
      </c>
      <c r="AC325" s="4">
        <v>163</v>
      </c>
      <c r="AD325" s="4">
        <v>162.69999999999999</v>
      </c>
      <c r="AE325" s="4">
        <v>165.7</v>
      </c>
    </row>
    <row r="326" spans="1:31" x14ac:dyDescent="0.25">
      <c r="A326" s="4" t="s">
        <v>9</v>
      </c>
      <c r="B326" s="4">
        <v>2022</v>
      </c>
      <c r="C326" s="4" t="s">
        <v>13</v>
      </c>
      <c r="D326" s="4" t="str">
        <f t="shared" si="5"/>
        <v>2022FebruaryRural</v>
      </c>
      <c r="E326" s="4">
        <v>148.80000000000001</v>
      </c>
      <c r="F326" s="4">
        <v>198.1</v>
      </c>
      <c r="G326" s="4">
        <v>175.5</v>
      </c>
      <c r="H326" s="4">
        <v>160.69999999999999</v>
      </c>
      <c r="I326" s="4">
        <v>192.6</v>
      </c>
      <c r="J326" s="4">
        <v>151.4</v>
      </c>
      <c r="K326" s="4">
        <v>155.19999999999999</v>
      </c>
      <c r="L326" s="4">
        <v>163.9</v>
      </c>
      <c r="M326" s="4">
        <v>118.1</v>
      </c>
      <c r="N326" s="4">
        <v>175.4</v>
      </c>
      <c r="O326" s="4">
        <v>170.5</v>
      </c>
      <c r="P326" s="4">
        <v>176.3</v>
      </c>
      <c r="Q326" s="4">
        <v>163.9</v>
      </c>
      <c r="R326" s="4">
        <v>191.5</v>
      </c>
      <c r="S326" s="4">
        <v>174.1</v>
      </c>
      <c r="T326" s="4">
        <v>171</v>
      </c>
      <c r="U326" s="4">
        <v>173.7</v>
      </c>
      <c r="V326" s="4" t="s">
        <v>26</v>
      </c>
      <c r="W326" s="4">
        <v>167.4</v>
      </c>
      <c r="X326" s="4">
        <v>165.7</v>
      </c>
      <c r="Y326" s="4">
        <v>175.3</v>
      </c>
      <c r="Z326" s="4">
        <v>161.19999999999999</v>
      </c>
      <c r="AA326" s="4">
        <v>165.5</v>
      </c>
      <c r="AB326" s="4">
        <v>170.3</v>
      </c>
      <c r="AC326" s="4">
        <v>164.5</v>
      </c>
      <c r="AD326" s="4">
        <v>167.3</v>
      </c>
      <c r="AE326" s="4">
        <v>166.7</v>
      </c>
    </row>
    <row r="327" spans="1:31" x14ac:dyDescent="0.25">
      <c r="A327" s="4" t="s">
        <v>11</v>
      </c>
      <c r="B327" s="4">
        <v>2022</v>
      </c>
      <c r="C327" s="4" t="s">
        <v>13</v>
      </c>
      <c r="D327" s="4" t="str">
        <f t="shared" si="5"/>
        <v>2022FebruaryUrban</v>
      </c>
      <c r="E327" s="4">
        <v>152.5</v>
      </c>
      <c r="F327" s="4">
        <v>205.2</v>
      </c>
      <c r="G327" s="4">
        <v>176.4</v>
      </c>
      <c r="H327" s="4">
        <v>160.6</v>
      </c>
      <c r="I327" s="4">
        <v>171.5</v>
      </c>
      <c r="J327" s="4">
        <v>156.4</v>
      </c>
      <c r="K327" s="4">
        <v>198</v>
      </c>
      <c r="L327" s="4">
        <v>163.19999999999999</v>
      </c>
      <c r="M327" s="4">
        <v>120.6</v>
      </c>
      <c r="N327" s="4">
        <v>172.2</v>
      </c>
      <c r="O327" s="4">
        <v>156.69999999999999</v>
      </c>
      <c r="P327" s="4">
        <v>180</v>
      </c>
      <c r="Q327" s="4">
        <v>170.2</v>
      </c>
      <c r="R327" s="4">
        <v>196.5</v>
      </c>
      <c r="S327" s="4">
        <v>165.7</v>
      </c>
      <c r="T327" s="4">
        <v>150.4</v>
      </c>
      <c r="U327" s="4">
        <v>163.4</v>
      </c>
      <c r="V327" s="4">
        <v>165.5</v>
      </c>
      <c r="W327" s="4">
        <v>163</v>
      </c>
      <c r="X327" s="4">
        <v>157.4</v>
      </c>
      <c r="Y327" s="4">
        <v>167.2</v>
      </c>
      <c r="Z327" s="4">
        <v>153.1</v>
      </c>
      <c r="AA327" s="4">
        <v>159.5</v>
      </c>
      <c r="AB327" s="4">
        <v>162</v>
      </c>
      <c r="AC327" s="4">
        <v>164.2</v>
      </c>
      <c r="AD327" s="4">
        <v>159.4</v>
      </c>
      <c r="AE327" s="4">
        <v>165.5</v>
      </c>
    </row>
    <row r="328" spans="1:31" x14ac:dyDescent="0.25">
      <c r="A328" s="4" t="s">
        <v>12</v>
      </c>
      <c r="B328" s="4">
        <v>2022</v>
      </c>
      <c r="C328" s="4" t="s">
        <v>13</v>
      </c>
      <c r="D328" s="4" t="str">
        <f t="shared" si="5"/>
        <v>2022FebruaryRural+Urban</v>
      </c>
      <c r="E328" s="4">
        <v>150</v>
      </c>
      <c r="F328" s="4">
        <v>200.6</v>
      </c>
      <c r="G328" s="4">
        <v>175.8</v>
      </c>
      <c r="H328" s="4">
        <v>160.69999999999999</v>
      </c>
      <c r="I328" s="4">
        <v>184.9</v>
      </c>
      <c r="J328" s="4">
        <v>153.69999999999999</v>
      </c>
      <c r="K328" s="4">
        <v>169.7</v>
      </c>
      <c r="L328" s="4">
        <v>163.69999999999999</v>
      </c>
      <c r="M328" s="4">
        <v>118.9</v>
      </c>
      <c r="N328" s="4">
        <v>174.3</v>
      </c>
      <c r="O328" s="4">
        <v>164.7</v>
      </c>
      <c r="P328" s="4">
        <v>178</v>
      </c>
      <c r="Q328" s="4">
        <v>166.2</v>
      </c>
      <c r="R328" s="4">
        <v>192.8</v>
      </c>
      <c r="S328" s="4">
        <v>170.8</v>
      </c>
      <c r="T328" s="4">
        <v>162.4</v>
      </c>
      <c r="U328" s="4">
        <v>169.6</v>
      </c>
      <c r="V328" s="4">
        <v>165.5</v>
      </c>
      <c r="W328" s="4">
        <v>165.7</v>
      </c>
      <c r="X328" s="4">
        <v>161.80000000000001</v>
      </c>
      <c r="Y328" s="4">
        <v>172.2</v>
      </c>
      <c r="Z328" s="4">
        <v>156.9</v>
      </c>
      <c r="AA328" s="4">
        <v>162.1</v>
      </c>
      <c r="AB328" s="4">
        <v>165.4</v>
      </c>
      <c r="AC328" s="4">
        <v>164.4</v>
      </c>
      <c r="AD328" s="4">
        <v>163.5</v>
      </c>
      <c r="AE328" s="4">
        <v>166.1</v>
      </c>
    </row>
    <row r="329" spans="1:31" x14ac:dyDescent="0.25">
      <c r="A329" s="4" t="s">
        <v>9</v>
      </c>
      <c r="B329" s="4">
        <v>2022</v>
      </c>
      <c r="C329" s="4" t="s">
        <v>15</v>
      </c>
      <c r="D329" s="4" t="str">
        <f t="shared" si="5"/>
        <v>2022MarchRural</v>
      </c>
      <c r="E329" s="4">
        <v>150.19999999999999</v>
      </c>
      <c r="F329" s="4">
        <v>208</v>
      </c>
      <c r="G329" s="4">
        <v>167.9</v>
      </c>
      <c r="H329" s="4">
        <v>162</v>
      </c>
      <c r="I329" s="4">
        <v>203.1</v>
      </c>
      <c r="J329" s="4">
        <v>155.9</v>
      </c>
      <c r="K329" s="4">
        <v>155.80000000000001</v>
      </c>
      <c r="L329" s="4">
        <v>164.2</v>
      </c>
      <c r="M329" s="4">
        <v>118.1</v>
      </c>
      <c r="N329" s="4">
        <v>178.7</v>
      </c>
      <c r="O329" s="4">
        <v>171.2</v>
      </c>
      <c r="P329" s="4">
        <v>177.4</v>
      </c>
      <c r="Q329" s="4">
        <v>166.6</v>
      </c>
      <c r="R329" s="4">
        <v>192.3</v>
      </c>
      <c r="S329" s="4">
        <v>175.4</v>
      </c>
      <c r="T329" s="4">
        <v>173.2</v>
      </c>
      <c r="U329" s="4">
        <v>175.1</v>
      </c>
      <c r="V329" s="4" t="s">
        <v>26</v>
      </c>
      <c r="W329" s="4">
        <v>168.9</v>
      </c>
      <c r="X329" s="4">
        <v>166.5</v>
      </c>
      <c r="Y329" s="4">
        <v>176</v>
      </c>
      <c r="Z329" s="4">
        <v>162</v>
      </c>
      <c r="AA329" s="4">
        <v>166.6</v>
      </c>
      <c r="AB329" s="4">
        <v>170.6</v>
      </c>
      <c r="AC329" s="4">
        <v>167.4</v>
      </c>
      <c r="AD329" s="4">
        <v>168.3</v>
      </c>
      <c r="AE329" s="4">
        <v>168.7</v>
      </c>
    </row>
    <row r="330" spans="1:31" x14ac:dyDescent="0.25">
      <c r="A330" s="4" t="s">
        <v>11</v>
      </c>
      <c r="B330" s="4">
        <v>2022</v>
      </c>
      <c r="C330" s="4" t="s">
        <v>15</v>
      </c>
      <c r="D330" s="4" t="str">
        <f t="shared" si="5"/>
        <v>2022MarchUrban</v>
      </c>
      <c r="E330" s="4">
        <v>153.69999999999999</v>
      </c>
      <c r="F330" s="4">
        <v>215.8</v>
      </c>
      <c r="G330" s="4">
        <v>167.7</v>
      </c>
      <c r="H330" s="4">
        <v>162.6</v>
      </c>
      <c r="I330" s="4">
        <v>180</v>
      </c>
      <c r="J330" s="4">
        <v>159.6</v>
      </c>
      <c r="K330" s="4">
        <v>188.4</v>
      </c>
      <c r="L330" s="4">
        <v>163.4</v>
      </c>
      <c r="M330" s="4">
        <v>120.3</v>
      </c>
      <c r="N330" s="4">
        <v>174.7</v>
      </c>
      <c r="O330" s="4">
        <v>157.1</v>
      </c>
      <c r="P330" s="4">
        <v>181.5</v>
      </c>
      <c r="Q330" s="4">
        <v>171.5</v>
      </c>
      <c r="R330" s="4">
        <v>197.5</v>
      </c>
      <c r="S330" s="4">
        <v>167.1</v>
      </c>
      <c r="T330" s="4">
        <v>152.6</v>
      </c>
      <c r="U330" s="4">
        <v>164.9</v>
      </c>
      <c r="V330" s="4">
        <v>165.3</v>
      </c>
      <c r="W330" s="4">
        <v>164.5</v>
      </c>
      <c r="X330" s="4">
        <v>158.6</v>
      </c>
      <c r="Y330" s="4">
        <v>168.2</v>
      </c>
      <c r="Z330" s="4">
        <v>154.19999999999999</v>
      </c>
      <c r="AA330" s="4">
        <v>160.80000000000001</v>
      </c>
      <c r="AB330" s="4">
        <v>162.69999999999999</v>
      </c>
      <c r="AC330" s="4">
        <v>166.8</v>
      </c>
      <c r="AD330" s="4">
        <v>160.6</v>
      </c>
      <c r="AE330" s="4">
        <v>166.5</v>
      </c>
    </row>
    <row r="331" spans="1:31" x14ac:dyDescent="0.25">
      <c r="A331" s="4" t="s">
        <v>12</v>
      </c>
      <c r="B331" s="4">
        <v>2022</v>
      </c>
      <c r="C331" s="4" t="s">
        <v>15</v>
      </c>
      <c r="D331" s="4" t="str">
        <f t="shared" si="5"/>
        <v>2022MarchRural+Urban</v>
      </c>
      <c r="E331" s="4">
        <v>151.30000000000001</v>
      </c>
      <c r="F331" s="4">
        <v>210.7</v>
      </c>
      <c r="G331" s="4">
        <v>167.8</v>
      </c>
      <c r="H331" s="4">
        <v>162.19999999999999</v>
      </c>
      <c r="I331" s="4">
        <v>194.6</v>
      </c>
      <c r="J331" s="4">
        <v>157.6</v>
      </c>
      <c r="K331" s="4">
        <v>166.9</v>
      </c>
      <c r="L331" s="4">
        <v>163.9</v>
      </c>
      <c r="M331" s="4">
        <v>118.8</v>
      </c>
      <c r="N331" s="4">
        <v>177.4</v>
      </c>
      <c r="O331" s="4">
        <v>165.3</v>
      </c>
      <c r="P331" s="4">
        <v>179.3</v>
      </c>
      <c r="Q331" s="4">
        <v>168.4</v>
      </c>
      <c r="R331" s="4">
        <v>193.7</v>
      </c>
      <c r="S331" s="4">
        <v>172.1</v>
      </c>
      <c r="T331" s="4">
        <v>164.6</v>
      </c>
      <c r="U331" s="4">
        <v>171.1</v>
      </c>
      <c r="V331" s="4">
        <v>165.3</v>
      </c>
      <c r="W331" s="4">
        <v>167.2</v>
      </c>
      <c r="X331" s="4">
        <v>162.80000000000001</v>
      </c>
      <c r="Y331" s="4">
        <v>173</v>
      </c>
      <c r="Z331" s="4">
        <v>157.9</v>
      </c>
      <c r="AA331" s="4">
        <v>163.30000000000001</v>
      </c>
      <c r="AB331" s="4">
        <v>166</v>
      </c>
      <c r="AC331" s="4">
        <v>167.2</v>
      </c>
      <c r="AD331" s="4">
        <v>164.6</v>
      </c>
      <c r="AE331" s="4">
        <v>167.7</v>
      </c>
    </row>
    <row r="332" spans="1:31" x14ac:dyDescent="0.25">
      <c r="A332" s="4" t="s">
        <v>9</v>
      </c>
      <c r="B332" s="4">
        <v>2022</v>
      </c>
      <c r="C332" s="4" t="s">
        <v>16</v>
      </c>
      <c r="D332" s="4" t="str">
        <f t="shared" si="5"/>
        <v>2022AprilRural</v>
      </c>
      <c r="E332" s="4">
        <v>151.80000000000001</v>
      </c>
      <c r="F332" s="4">
        <v>209.7</v>
      </c>
      <c r="G332" s="4">
        <v>164.5</v>
      </c>
      <c r="H332" s="4">
        <v>163.80000000000001</v>
      </c>
      <c r="I332" s="4">
        <v>207.4</v>
      </c>
      <c r="J332" s="4">
        <v>169.7</v>
      </c>
      <c r="K332" s="4">
        <v>153.6</v>
      </c>
      <c r="L332" s="4">
        <v>165.1</v>
      </c>
      <c r="M332" s="4">
        <v>118.2</v>
      </c>
      <c r="N332" s="4">
        <v>182.9</v>
      </c>
      <c r="O332" s="4">
        <v>172.4</v>
      </c>
      <c r="P332" s="4">
        <v>178.9</v>
      </c>
      <c r="Q332" s="4">
        <v>168.6</v>
      </c>
      <c r="R332" s="4">
        <v>192.8</v>
      </c>
      <c r="S332" s="4">
        <v>177.5</v>
      </c>
      <c r="T332" s="4">
        <v>175.1</v>
      </c>
      <c r="U332" s="4">
        <v>177.1</v>
      </c>
      <c r="V332" s="4" t="s">
        <v>26</v>
      </c>
      <c r="W332" s="4">
        <v>173.3</v>
      </c>
      <c r="X332" s="4">
        <v>167.7</v>
      </c>
      <c r="Y332" s="4">
        <v>177</v>
      </c>
      <c r="Z332" s="4">
        <v>166.2</v>
      </c>
      <c r="AA332" s="4">
        <v>167.2</v>
      </c>
      <c r="AB332" s="4">
        <v>170.9</v>
      </c>
      <c r="AC332" s="4">
        <v>169</v>
      </c>
      <c r="AD332" s="4">
        <v>170.2</v>
      </c>
      <c r="AE332" s="4">
        <v>170.8</v>
      </c>
    </row>
    <row r="333" spans="1:31" x14ac:dyDescent="0.25">
      <c r="A333" s="4" t="s">
        <v>11</v>
      </c>
      <c r="B333" s="4">
        <v>2022</v>
      </c>
      <c r="C333" s="4" t="s">
        <v>16</v>
      </c>
      <c r="D333" s="4" t="str">
        <f t="shared" si="5"/>
        <v>2022AprilUrban</v>
      </c>
      <c r="E333" s="4">
        <v>155.4</v>
      </c>
      <c r="F333" s="4">
        <v>215.8</v>
      </c>
      <c r="G333" s="4">
        <v>164.6</v>
      </c>
      <c r="H333" s="4">
        <v>164.2</v>
      </c>
      <c r="I333" s="4">
        <v>186</v>
      </c>
      <c r="J333" s="4">
        <v>175.9</v>
      </c>
      <c r="K333" s="4">
        <v>190.7</v>
      </c>
      <c r="L333" s="4">
        <v>164</v>
      </c>
      <c r="M333" s="4">
        <v>120.5</v>
      </c>
      <c r="N333" s="4">
        <v>178</v>
      </c>
      <c r="O333" s="4">
        <v>157.5</v>
      </c>
      <c r="P333" s="4">
        <v>183.3</v>
      </c>
      <c r="Q333" s="4">
        <v>174.5</v>
      </c>
      <c r="R333" s="4">
        <v>197.1</v>
      </c>
      <c r="S333" s="4">
        <v>168.4</v>
      </c>
      <c r="T333" s="4">
        <v>154.5</v>
      </c>
      <c r="U333" s="4">
        <v>166.3</v>
      </c>
      <c r="V333" s="4">
        <v>167</v>
      </c>
      <c r="W333" s="4">
        <v>170.5</v>
      </c>
      <c r="X333" s="4">
        <v>159.80000000000001</v>
      </c>
      <c r="Y333" s="4">
        <v>169</v>
      </c>
      <c r="Z333" s="4">
        <v>159.30000000000001</v>
      </c>
      <c r="AA333" s="4">
        <v>162.19999999999999</v>
      </c>
      <c r="AB333" s="4">
        <v>164</v>
      </c>
      <c r="AC333" s="4">
        <v>168.4</v>
      </c>
      <c r="AD333" s="4">
        <v>163.1</v>
      </c>
      <c r="AE333" s="4">
        <v>169.2</v>
      </c>
    </row>
    <row r="334" spans="1:31" x14ac:dyDescent="0.25">
      <c r="A334" s="4" t="s">
        <v>12</v>
      </c>
      <c r="B334" s="4">
        <v>2022</v>
      </c>
      <c r="C334" s="4" t="s">
        <v>16</v>
      </c>
      <c r="D334" s="4" t="str">
        <f t="shared" si="5"/>
        <v>2022AprilRural+Urban</v>
      </c>
      <c r="E334" s="4">
        <v>152.9</v>
      </c>
      <c r="F334" s="4">
        <v>211.8</v>
      </c>
      <c r="G334" s="4">
        <v>164.5</v>
      </c>
      <c r="H334" s="4">
        <v>163.9</v>
      </c>
      <c r="I334" s="4">
        <v>199.5</v>
      </c>
      <c r="J334" s="4">
        <v>172.6</v>
      </c>
      <c r="K334" s="4">
        <v>166.2</v>
      </c>
      <c r="L334" s="4">
        <v>164.7</v>
      </c>
      <c r="M334" s="4">
        <v>119</v>
      </c>
      <c r="N334" s="4">
        <v>181.3</v>
      </c>
      <c r="O334" s="4">
        <v>166.2</v>
      </c>
      <c r="P334" s="4">
        <v>180.9</v>
      </c>
      <c r="Q334" s="4">
        <v>170.8</v>
      </c>
      <c r="R334" s="4">
        <v>193.9</v>
      </c>
      <c r="S334" s="4">
        <v>173.9</v>
      </c>
      <c r="T334" s="4">
        <v>166.5</v>
      </c>
      <c r="U334" s="4">
        <v>172.8</v>
      </c>
      <c r="V334" s="4">
        <v>167</v>
      </c>
      <c r="W334" s="4">
        <v>172.2</v>
      </c>
      <c r="X334" s="4">
        <v>164</v>
      </c>
      <c r="Y334" s="4">
        <v>174</v>
      </c>
      <c r="Z334" s="4">
        <v>162.6</v>
      </c>
      <c r="AA334" s="4">
        <v>164.4</v>
      </c>
      <c r="AB334" s="4">
        <v>166.9</v>
      </c>
      <c r="AC334" s="4">
        <v>168.8</v>
      </c>
      <c r="AD334" s="4">
        <v>166.8</v>
      </c>
      <c r="AE334" s="4">
        <v>170.1</v>
      </c>
    </row>
    <row r="335" spans="1:31" x14ac:dyDescent="0.25">
      <c r="A335" s="4" t="s">
        <v>9</v>
      </c>
      <c r="B335" s="4">
        <v>2022</v>
      </c>
      <c r="C335" s="4" t="s">
        <v>14</v>
      </c>
      <c r="D335" s="4" t="str">
        <f t="shared" si="5"/>
        <v>2022MayRural</v>
      </c>
      <c r="E335" s="4">
        <v>152.9</v>
      </c>
      <c r="F335" s="4">
        <v>214.7</v>
      </c>
      <c r="G335" s="4">
        <v>161.4</v>
      </c>
      <c r="H335" s="4">
        <v>164.6</v>
      </c>
      <c r="I335" s="4">
        <v>209.9</v>
      </c>
      <c r="J335" s="4">
        <v>168</v>
      </c>
      <c r="K335" s="4">
        <v>160.4</v>
      </c>
      <c r="L335" s="4">
        <v>165</v>
      </c>
      <c r="M335" s="4">
        <v>118.9</v>
      </c>
      <c r="N335" s="4">
        <v>186.6</v>
      </c>
      <c r="O335" s="4">
        <v>173.2</v>
      </c>
      <c r="P335" s="4">
        <v>180.4</v>
      </c>
      <c r="Q335" s="4">
        <v>170.8</v>
      </c>
      <c r="R335" s="4">
        <v>192.9</v>
      </c>
      <c r="S335" s="4">
        <v>179.3</v>
      </c>
      <c r="T335" s="4">
        <v>177.2</v>
      </c>
      <c r="U335" s="4">
        <v>179</v>
      </c>
      <c r="V335" s="4" t="s">
        <v>26</v>
      </c>
      <c r="W335" s="4">
        <v>175.3</v>
      </c>
      <c r="X335" s="4">
        <v>168.9</v>
      </c>
      <c r="Y335" s="4">
        <v>177.7</v>
      </c>
      <c r="Z335" s="4">
        <v>167.1</v>
      </c>
      <c r="AA335" s="4">
        <v>167.6</v>
      </c>
      <c r="AB335" s="4">
        <v>171.8</v>
      </c>
      <c r="AC335" s="4">
        <v>168.5</v>
      </c>
      <c r="AD335" s="4">
        <v>170.9</v>
      </c>
      <c r="AE335" s="4">
        <v>172.5</v>
      </c>
    </row>
    <row r="336" spans="1:31" x14ac:dyDescent="0.25">
      <c r="A336" s="4" t="s">
        <v>11</v>
      </c>
      <c r="B336" s="4">
        <v>2022</v>
      </c>
      <c r="C336" s="4" t="s">
        <v>14</v>
      </c>
      <c r="D336" s="4" t="str">
        <f t="shared" si="5"/>
        <v>2022MayUrban</v>
      </c>
      <c r="E336" s="4">
        <v>156.69999999999999</v>
      </c>
      <c r="F336" s="4">
        <v>221.2</v>
      </c>
      <c r="G336" s="4">
        <v>164.1</v>
      </c>
      <c r="H336" s="4">
        <v>165.4</v>
      </c>
      <c r="I336" s="4">
        <v>189.5</v>
      </c>
      <c r="J336" s="4">
        <v>174.5</v>
      </c>
      <c r="K336" s="4">
        <v>203.2</v>
      </c>
      <c r="L336" s="4">
        <v>164.1</v>
      </c>
      <c r="M336" s="4">
        <v>121.2</v>
      </c>
      <c r="N336" s="4">
        <v>181.4</v>
      </c>
      <c r="O336" s="4">
        <v>158.5</v>
      </c>
      <c r="P336" s="4">
        <v>184.9</v>
      </c>
      <c r="Q336" s="4">
        <v>177.5</v>
      </c>
      <c r="R336" s="4">
        <v>197.5</v>
      </c>
      <c r="S336" s="4">
        <v>170</v>
      </c>
      <c r="T336" s="4">
        <v>155.9</v>
      </c>
      <c r="U336" s="4">
        <v>167.8</v>
      </c>
      <c r="V336" s="4">
        <v>167.5</v>
      </c>
      <c r="W336" s="4">
        <v>173.5</v>
      </c>
      <c r="X336" s="4">
        <v>161.1</v>
      </c>
      <c r="Y336" s="4">
        <v>170.1</v>
      </c>
      <c r="Z336" s="4">
        <v>159.4</v>
      </c>
      <c r="AA336" s="4">
        <v>163.19999999999999</v>
      </c>
      <c r="AB336" s="4">
        <v>165.2</v>
      </c>
      <c r="AC336" s="4">
        <v>168.2</v>
      </c>
      <c r="AD336" s="4">
        <v>163.80000000000001</v>
      </c>
      <c r="AE336" s="4">
        <v>170.8</v>
      </c>
    </row>
    <row r="337" spans="1:31" x14ac:dyDescent="0.25">
      <c r="A337" s="4" t="s">
        <v>12</v>
      </c>
      <c r="B337" s="4">
        <v>2022</v>
      </c>
      <c r="C337" s="4" t="s">
        <v>14</v>
      </c>
      <c r="D337" s="4" t="str">
        <f t="shared" si="5"/>
        <v>2022MayRural+Urban</v>
      </c>
      <c r="E337" s="4">
        <v>154.1</v>
      </c>
      <c r="F337" s="4">
        <v>217</v>
      </c>
      <c r="G337" s="4">
        <v>162.4</v>
      </c>
      <c r="H337" s="4">
        <v>164.9</v>
      </c>
      <c r="I337" s="4">
        <v>202.4</v>
      </c>
      <c r="J337" s="4">
        <v>171</v>
      </c>
      <c r="K337" s="4">
        <v>174.9</v>
      </c>
      <c r="L337" s="4">
        <v>164.7</v>
      </c>
      <c r="M337" s="4">
        <v>119.7</v>
      </c>
      <c r="N337" s="4">
        <v>184.9</v>
      </c>
      <c r="O337" s="4">
        <v>167.1</v>
      </c>
      <c r="P337" s="4">
        <v>182.5</v>
      </c>
      <c r="Q337" s="4">
        <v>173.3</v>
      </c>
      <c r="R337" s="4">
        <v>194.1</v>
      </c>
      <c r="S337" s="4">
        <v>175.6</v>
      </c>
      <c r="T337" s="4">
        <v>168.4</v>
      </c>
      <c r="U337" s="4">
        <v>174.6</v>
      </c>
      <c r="V337" s="4">
        <v>167.5</v>
      </c>
      <c r="W337" s="4">
        <v>174.6</v>
      </c>
      <c r="X337" s="4">
        <v>165.2</v>
      </c>
      <c r="Y337" s="4">
        <v>174.8</v>
      </c>
      <c r="Z337" s="4">
        <v>163</v>
      </c>
      <c r="AA337" s="4">
        <v>165.1</v>
      </c>
      <c r="AB337" s="4">
        <v>167.9</v>
      </c>
      <c r="AC337" s="4">
        <v>168.4</v>
      </c>
      <c r="AD337" s="4">
        <v>167.5</v>
      </c>
      <c r="AE337" s="4">
        <v>171.7</v>
      </c>
    </row>
    <row r="338" spans="1:31" x14ac:dyDescent="0.25">
      <c r="A338" s="4" t="s">
        <v>9</v>
      </c>
      <c r="B338" s="4">
        <v>2022</v>
      </c>
      <c r="C338" s="4" t="s">
        <v>17</v>
      </c>
      <c r="D338" s="4" t="str">
        <f t="shared" si="5"/>
        <v>2022JuneRural</v>
      </c>
      <c r="E338" s="4">
        <v>153.80000000000001</v>
      </c>
      <c r="F338" s="4">
        <v>217.2</v>
      </c>
      <c r="G338" s="4">
        <v>169.6</v>
      </c>
      <c r="H338" s="4">
        <v>165.4</v>
      </c>
      <c r="I338" s="4">
        <v>208.1</v>
      </c>
      <c r="J338" s="4">
        <v>165.8</v>
      </c>
      <c r="K338" s="4">
        <v>167.3</v>
      </c>
      <c r="L338" s="4">
        <v>164.6</v>
      </c>
      <c r="M338" s="4">
        <v>119.1</v>
      </c>
      <c r="N338" s="4">
        <v>188.9</v>
      </c>
      <c r="O338" s="4">
        <v>174.2</v>
      </c>
      <c r="P338" s="4">
        <v>181.9</v>
      </c>
      <c r="Q338" s="4">
        <v>172.4</v>
      </c>
      <c r="R338" s="4">
        <v>192.9</v>
      </c>
      <c r="S338" s="4">
        <v>180.7</v>
      </c>
      <c r="T338" s="4">
        <v>178.7</v>
      </c>
      <c r="U338" s="4">
        <v>180.4</v>
      </c>
      <c r="V338" s="4" t="s">
        <v>26</v>
      </c>
      <c r="W338" s="4">
        <v>176.7</v>
      </c>
      <c r="X338" s="4">
        <v>170.3</v>
      </c>
      <c r="Y338" s="4">
        <v>178.2</v>
      </c>
      <c r="Z338" s="4">
        <v>165.5</v>
      </c>
      <c r="AA338" s="4">
        <v>168</v>
      </c>
      <c r="AB338" s="4">
        <v>172.6</v>
      </c>
      <c r="AC338" s="4">
        <v>169.5</v>
      </c>
      <c r="AD338" s="4">
        <v>171</v>
      </c>
      <c r="AE338" s="4">
        <v>173.6</v>
      </c>
    </row>
    <row r="339" spans="1:31" x14ac:dyDescent="0.25">
      <c r="A339" s="4" t="s">
        <v>11</v>
      </c>
      <c r="B339" s="4">
        <v>2022</v>
      </c>
      <c r="C339" s="4" t="s">
        <v>17</v>
      </c>
      <c r="D339" s="4" t="str">
        <f t="shared" si="5"/>
        <v>2022JuneUrban</v>
      </c>
      <c r="E339" s="4">
        <v>157.5</v>
      </c>
      <c r="F339" s="4">
        <v>223.4</v>
      </c>
      <c r="G339" s="4">
        <v>172.8</v>
      </c>
      <c r="H339" s="4">
        <v>166.4</v>
      </c>
      <c r="I339" s="4">
        <v>188.6</v>
      </c>
      <c r="J339" s="4">
        <v>174.1</v>
      </c>
      <c r="K339" s="4">
        <v>211.5</v>
      </c>
      <c r="L339" s="4">
        <v>163.6</v>
      </c>
      <c r="M339" s="4">
        <v>121.4</v>
      </c>
      <c r="N339" s="4">
        <v>183.5</v>
      </c>
      <c r="O339" s="4">
        <v>159.1</v>
      </c>
      <c r="P339" s="4">
        <v>186.3</v>
      </c>
      <c r="Q339" s="4">
        <v>179.3</v>
      </c>
      <c r="R339" s="4">
        <v>198.3</v>
      </c>
      <c r="S339" s="4">
        <v>171.6</v>
      </c>
      <c r="T339" s="4">
        <v>157.4</v>
      </c>
      <c r="U339" s="4">
        <v>169.4</v>
      </c>
      <c r="V339" s="4">
        <v>166.8</v>
      </c>
      <c r="W339" s="4">
        <v>174.9</v>
      </c>
      <c r="X339" s="4">
        <v>162.1</v>
      </c>
      <c r="Y339" s="4">
        <v>170.9</v>
      </c>
      <c r="Z339" s="4">
        <v>157.19999999999999</v>
      </c>
      <c r="AA339" s="4">
        <v>164.1</v>
      </c>
      <c r="AB339" s="4">
        <v>166.5</v>
      </c>
      <c r="AC339" s="4">
        <v>169.2</v>
      </c>
      <c r="AD339" s="4">
        <v>163.80000000000001</v>
      </c>
      <c r="AE339" s="4">
        <v>171.4</v>
      </c>
    </row>
    <row r="340" spans="1:31" x14ac:dyDescent="0.25">
      <c r="A340" s="4" t="s">
        <v>12</v>
      </c>
      <c r="B340" s="4">
        <v>2022</v>
      </c>
      <c r="C340" s="4" t="s">
        <v>17</v>
      </c>
      <c r="D340" s="4" t="str">
        <f t="shared" si="5"/>
        <v>2022JuneRural+Urban</v>
      </c>
      <c r="E340" s="4">
        <v>155</v>
      </c>
      <c r="F340" s="4">
        <v>219.4</v>
      </c>
      <c r="G340" s="4">
        <v>170.8</v>
      </c>
      <c r="H340" s="4">
        <v>165.8</v>
      </c>
      <c r="I340" s="4">
        <v>200.9</v>
      </c>
      <c r="J340" s="4">
        <v>169.7</v>
      </c>
      <c r="K340" s="4">
        <v>182.3</v>
      </c>
      <c r="L340" s="4">
        <v>164.3</v>
      </c>
      <c r="M340" s="4">
        <v>119.9</v>
      </c>
      <c r="N340" s="4">
        <v>187.1</v>
      </c>
      <c r="O340" s="4">
        <v>167.9</v>
      </c>
      <c r="P340" s="4">
        <v>183.9</v>
      </c>
      <c r="Q340" s="4">
        <v>174.9</v>
      </c>
      <c r="R340" s="4">
        <v>194.3</v>
      </c>
      <c r="S340" s="4">
        <v>177.1</v>
      </c>
      <c r="T340" s="4">
        <v>169.9</v>
      </c>
      <c r="U340" s="4">
        <v>176</v>
      </c>
      <c r="V340" s="4">
        <v>166.8</v>
      </c>
      <c r="W340" s="4">
        <v>176</v>
      </c>
      <c r="X340" s="4">
        <v>166.4</v>
      </c>
      <c r="Y340" s="4">
        <v>175.4</v>
      </c>
      <c r="Z340" s="4">
        <v>161.1</v>
      </c>
      <c r="AA340" s="4">
        <v>165.8</v>
      </c>
      <c r="AB340" s="4">
        <v>169</v>
      </c>
      <c r="AC340" s="4">
        <v>169.4</v>
      </c>
      <c r="AD340" s="4">
        <v>167.5</v>
      </c>
      <c r="AE340" s="4">
        <v>172.6</v>
      </c>
    </row>
    <row r="341" spans="1:31" x14ac:dyDescent="0.25">
      <c r="A341" s="4" t="s">
        <v>9</v>
      </c>
      <c r="B341" s="4">
        <v>2022</v>
      </c>
      <c r="C341" s="4" t="s">
        <v>18</v>
      </c>
      <c r="D341" s="4" t="str">
        <f t="shared" si="5"/>
        <v>2022JulyRural</v>
      </c>
      <c r="E341" s="4">
        <v>155.19999999999999</v>
      </c>
      <c r="F341" s="4">
        <v>210.8</v>
      </c>
      <c r="G341" s="4">
        <v>174.3</v>
      </c>
      <c r="H341" s="4">
        <v>166.3</v>
      </c>
      <c r="I341" s="4">
        <v>202.2</v>
      </c>
      <c r="J341" s="4">
        <v>169.6</v>
      </c>
      <c r="K341" s="4">
        <v>168.6</v>
      </c>
      <c r="L341" s="4">
        <v>164.4</v>
      </c>
      <c r="M341" s="4">
        <v>119.2</v>
      </c>
      <c r="N341" s="4">
        <v>191.8</v>
      </c>
      <c r="O341" s="4">
        <v>174.5</v>
      </c>
      <c r="P341" s="4">
        <v>183.1</v>
      </c>
      <c r="Q341" s="4">
        <v>172.5</v>
      </c>
      <c r="R341" s="4">
        <v>193.2</v>
      </c>
      <c r="S341" s="4">
        <v>182</v>
      </c>
      <c r="T341" s="4">
        <v>180.3</v>
      </c>
      <c r="U341" s="4">
        <v>181.7</v>
      </c>
      <c r="V341" s="4" t="s">
        <v>26</v>
      </c>
      <c r="W341" s="4">
        <v>179.6</v>
      </c>
      <c r="X341" s="4">
        <v>171.3</v>
      </c>
      <c r="Y341" s="4">
        <v>178.8</v>
      </c>
      <c r="Z341" s="4">
        <v>166.3</v>
      </c>
      <c r="AA341" s="4">
        <v>168.6</v>
      </c>
      <c r="AB341" s="4">
        <v>174.7</v>
      </c>
      <c r="AC341" s="4">
        <v>169.7</v>
      </c>
      <c r="AD341" s="4">
        <v>171.8</v>
      </c>
      <c r="AE341" s="4">
        <v>174.3</v>
      </c>
    </row>
    <row r="342" spans="1:31" x14ac:dyDescent="0.25">
      <c r="A342" s="4" t="s">
        <v>11</v>
      </c>
      <c r="B342" s="4">
        <v>2022</v>
      </c>
      <c r="C342" s="4" t="s">
        <v>18</v>
      </c>
      <c r="D342" s="4" t="str">
        <f t="shared" si="5"/>
        <v>2022JulyUrban</v>
      </c>
      <c r="E342" s="4">
        <v>159.30000000000001</v>
      </c>
      <c r="F342" s="4">
        <v>217.1</v>
      </c>
      <c r="G342" s="4">
        <v>176.6</v>
      </c>
      <c r="H342" s="4">
        <v>167.1</v>
      </c>
      <c r="I342" s="4">
        <v>184.8</v>
      </c>
      <c r="J342" s="4">
        <v>179.5</v>
      </c>
      <c r="K342" s="4">
        <v>208.5</v>
      </c>
      <c r="L342" s="4">
        <v>164</v>
      </c>
      <c r="M342" s="4">
        <v>121.5</v>
      </c>
      <c r="N342" s="4">
        <v>186.3</v>
      </c>
      <c r="O342" s="4">
        <v>159.80000000000001</v>
      </c>
      <c r="P342" s="4">
        <v>187.7</v>
      </c>
      <c r="Q342" s="4">
        <v>179.4</v>
      </c>
      <c r="R342" s="4">
        <v>198.6</v>
      </c>
      <c r="S342" s="4">
        <v>172.7</v>
      </c>
      <c r="T342" s="4">
        <v>158.69999999999999</v>
      </c>
      <c r="U342" s="4">
        <v>170.6</v>
      </c>
      <c r="V342" s="4">
        <v>167.8</v>
      </c>
      <c r="W342" s="4">
        <v>179.5</v>
      </c>
      <c r="X342" s="4">
        <v>163.1</v>
      </c>
      <c r="Y342" s="4">
        <v>171.7</v>
      </c>
      <c r="Z342" s="4">
        <v>157.4</v>
      </c>
      <c r="AA342" s="4">
        <v>164.6</v>
      </c>
      <c r="AB342" s="4">
        <v>169.1</v>
      </c>
      <c r="AC342" s="4">
        <v>169.8</v>
      </c>
      <c r="AD342" s="4">
        <v>164.7</v>
      </c>
      <c r="AE342" s="4">
        <v>172.3</v>
      </c>
    </row>
    <row r="343" spans="1:31" x14ac:dyDescent="0.25">
      <c r="A343" s="4" t="s">
        <v>12</v>
      </c>
      <c r="B343" s="4">
        <v>2022</v>
      </c>
      <c r="C343" s="4" t="s">
        <v>18</v>
      </c>
      <c r="D343" s="4" t="str">
        <f t="shared" si="5"/>
        <v>2022JulyRural+Urban</v>
      </c>
      <c r="E343" s="4">
        <v>156.5</v>
      </c>
      <c r="F343" s="4">
        <v>213</v>
      </c>
      <c r="G343" s="4">
        <v>175.2</v>
      </c>
      <c r="H343" s="4">
        <v>166.6</v>
      </c>
      <c r="I343" s="4">
        <v>195.8</v>
      </c>
      <c r="J343" s="4">
        <v>174.2</v>
      </c>
      <c r="K343" s="4">
        <v>182.1</v>
      </c>
      <c r="L343" s="4">
        <v>164.3</v>
      </c>
      <c r="M343" s="4">
        <v>120</v>
      </c>
      <c r="N343" s="4">
        <v>190</v>
      </c>
      <c r="O343" s="4">
        <v>168.4</v>
      </c>
      <c r="P343" s="4">
        <v>185.2</v>
      </c>
      <c r="Q343" s="4">
        <v>175</v>
      </c>
      <c r="R343" s="4">
        <v>194.6</v>
      </c>
      <c r="S343" s="4">
        <v>178.3</v>
      </c>
      <c r="T343" s="4">
        <v>171.3</v>
      </c>
      <c r="U343" s="4">
        <v>177.3</v>
      </c>
      <c r="V343" s="4">
        <v>167.8</v>
      </c>
      <c r="W343" s="4">
        <v>179.6</v>
      </c>
      <c r="X343" s="4">
        <v>167.4</v>
      </c>
      <c r="Y343" s="4">
        <v>176.1</v>
      </c>
      <c r="Z343" s="4">
        <v>161.6</v>
      </c>
      <c r="AA343" s="4">
        <v>166.3</v>
      </c>
      <c r="AB343" s="4">
        <v>171.4</v>
      </c>
      <c r="AC343" s="4">
        <v>169.7</v>
      </c>
      <c r="AD343" s="4">
        <v>168.4</v>
      </c>
      <c r="AE343" s="4">
        <v>173.4</v>
      </c>
    </row>
    <row r="344" spans="1:31" x14ac:dyDescent="0.25">
      <c r="A344" s="4" t="s">
        <v>9</v>
      </c>
      <c r="B344" s="4">
        <v>2022</v>
      </c>
      <c r="C344" s="4" t="s">
        <v>19</v>
      </c>
      <c r="D344" s="4" t="str">
        <f t="shared" si="5"/>
        <v>2022AugustRural</v>
      </c>
      <c r="E344" s="4">
        <v>159.5</v>
      </c>
      <c r="F344" s="4">
        <v>204.1</v>
      </c>
      <c r="G344" s="4">
        <v>168.3</v>
      </c>
      <c r="H344" s="4">
        <v>167.9</v>
      </c>
      <c r="I344" s="4">
        <v>198.1</v>
      </c>
      <c r="J344" s="4">
        <v>169.2</v>
      </c>
      <c r="K344" s="4">
        <v>173.1</v>
      </c>
      <c r="L344" s="4">
        <v>167.1</v>
      </c>
      <c r="M344" s="4">
        <v>120.2</v>
      </c>
      <c r="N344" s="4">
        <v>195.6</v>
      </c>
      <c r="O344" s="4">
        <v>174.8</v>
      </c>
      <c r="P344" s="4">
        <v>184</v>
      </c>
      <c r="Q344" s="4">
        <v>173.9</v>
      </c>
      <c r="R344" s="4">
        <v>193.7</v>
      </c>
      <c r="S344" s="4">
        <v>183.2</v>
      </c>
      <c r="T344" s="4">
        <v>181.7</v>
      </c>
      <c r="U344" s="4">
        <v>183</v>
      </c>
      <c r="V344" s="4" t="s">
        <v>26</v>
      </c>
      <c r="W344" s="4">
        <v>179.1</v>
      </c>
      <c r="X344" s="4">
        <v>172.3</v>
      </c>
      <c r="Y344" s="4">
        <v>179.4</v>
      </c>
      <c r="Z344" s="4">
        <v>166.6</v>
      </c>
      <c r="AA344" s="4">
        <v>169.3</v>
      </c>
      <c r="AB344" s="4">
        <v>175.7</v>
      </c>
      <c r="AC344" s="4">
        <v>171.1</v>
      </c>
      <c r="AD344" s="4">
        <v>172.6</v>
      </c>
      <c r="AE344" s="4">
        <v>175.3</v>
      </c>
    </row>
    <row r="345" spans="1:31" x14ac:dyDescent="0.25">
      <c r="A345" s="4" t="s">
        <v>11</v>
      </c>
      <c r="B345" s="4">
        <v>2022</v>
      </c>
      <c r="C345" s="4" t="s">
        <v>19</v>
      </c>
      <c r="D345" s="4" t="str">
        <f t="shared" si="5"/>
        <v>2022AugustUrban</v>
      </c>
      <c r="E345" s="4">
        <v>162.1</v>
      </c>
      <c r="F345" s="4">
        <v>210.9</v>
      </c>
      <c r="G345" s="4">
        <v>170.6</v>
      </c>
      <c r="H345" s="4">
        <v>168.4</v>
      </c>
      <c r="I345" s="4">
        <v>182.5</v>
      </c>
      <c r="J345" s="4">
        <v>177.1</v>
      </c>
      <c r="K345" s="4">
        <v>213.1</v>
      </c>
      <c r="L345" s="4">
        <v>167.3</v>
      </c>
      <c r="M345" s="4">
        <v>122.2</v>
      </c>
      <c r="N345" s="4">
        <v>189.7</v>
      </c>
      <c r="O345" s="4">
        <v>160.5</v>
      </c>
      <c r="P345" s="4">
        <v>188.9</v>
      </c>
      <c r="Q345" s="4">
        <v>180.4</v>
      </c>
      <c r="R345" s="4">
        <v>198.7</v>
      </c>
      <c r="S345" s="4">
        <v>173.7</v>
      </c>
      <c r="T345" s="4">
        <v>160</v>
      </c>
      <c r="U345" s="4">
        <v>171.6</v>
      </c>
      <c r="V345" s="4">
        <v>169</v>
      </c>
      <c r="W345" s="4">
        <v>178.4</v>
      </c>
      <c r="X345" s="4">
        <v>164.2</v>
      </c>
      <c r="Y345" s="4">
        <v>172.6</v>
      </c>
      <c r="Z345" s="4">
        <v>157.69999999999999</v>
      </c>
      <c r="AA345" s="4">
        <v>165.1</v>
      </c>
      <c r="AB345" s="4">
        <v>169.9</v>
      </c>
      <c r="AC345" s="4">
        <v>171.4</v>
      </c>
      <c r="AD345" s="4">
        <v>165.4</v>
      </c>
      <c r="AE345" s="4">
        <v>173.1</v>
      </c>
    </row>
    <row r="346" spans="1:31" x14ac:dyDescent="0.25">
      <c r="A346" s="4" t="s">
        <v>12</v>
      </c>
      <c r="B346" s="4">
        <v>2022</v>
      </c>
      <c r="C346" s="4" t="s">
        <v>19</v>
      </c>
      <c r="D346" s="4" t="str">
        <f t="shared" si="5"/>
        <v>2022AugustRural+Urban</v>
      </c>
      <c r="E346" s="4">
        <v>160.30000000000001</v>
      </c>
      <c r="F346" s="4">
        <v>206.5</v>
      </c>
      <c r="G346" s="4">
        <v>169.2</v>
      </c>
      <c r="H346" s="4">
        <v>168.1</v>
      </c>
      <c r="I346" s="4">
        <v>192.4</v>
      </c>
      <c r="J346" s="4">
        <v>172.9</v>
      </c>
      <c r="K346" s="4">
        <v>186.7</v>
      </c>
      <c r="L346" s="4">
        <v>167.2</v>
      </c>
      <c r="M346" s="4">
        <v>120.9</v>
      </c>
      <c r="N346" s="4">
        <v>193.6</v>
      </c>
      <c r="O346" s="4">
        <v>168.8</v>
      </c>
      <c r="P346" s="4">
        <v>186.3</v>
      </c>
      <c r="Q346" s="4">
        <v>176.3</v>
      </c>
      <c r="R346" s="4">
        <v>195</v>
      </c>
      <c r="S346" s="4">
        <v>179.5</v>
      </c>
      <c r="T346" s="4">
        <v>172.7</v>
      </c>
      <c r="U346" s="4">
        <v>178.5</v>
      </c>
      <c r="V346" s="4">
        <v>169</v>
      </c>
      <c r="W346" s="4">
        <v>178.8</v>
      </c>
      <c r="X346" s="4">
        <v>168.5</v>
      </c>
      <c r="Y346" s="4">
        <v>176.8</v>
      </c>
      <c r="Z346" s="4">
        <v>161.9</v>
      </c>
      <c r="AA346" s="4">
        <v>166.9</v>
      </c>
      <c r="AB346" s="4">
        <v>172.3</v>
      </c>
      <c r="AC346" s="4">
        <v>171.2</v>
      </c>
      <c r="AD346" s="4">
        <v>169.1</v>
      </c>
      <c r="AE346" s="4">
        <v>174.3</v>
      </c>
    </row>
    <row r="347" spans="1:31" x14ac:dyDescent="0.25">
      <c r="A347" s="4" t="s">
        <v>9</v>
      </c>
      <c r="B347" s="4">
        <v>2022</v>
      </c>
      <c r="C347" s="4" t="s">
        <v>20</v>
      </c>
      <c r="D347" s="4" t="str">
        <f t="shared" si="5"/>
        <v>2022SeptemberRural</v>
      </c>
      <c r="E347" s="4">
        <v>162.9</v>
      </c>
      <c r="F347" s="4">
        <v>206.7</v>
      </c>
      <c r="G347" s="4">
        <v>169</v>
      </c>
      <c r="H347" s="4">
        <v>169.5</v>
      </c>
      <c r="I347" s="4">
        <v>194.1</v>
      </c>
      <c r="J347" s="4">
        <v>164.1</v>
      </c>
      <c r="K347" s="4">
        <v>176.9</v>
      </c>
      <c r="L347" s="4">
        <v>169</v>
      </c>
      <c r="M347" s="4">
        <v>120.8</v>
      </c>
      <c r="N347" s="4">
        <v>199.1</v>
      </c>
      <c r="O347" s="4">
        <v>175.4</v>
      </c>
      <c r="P347" s="4">
        <v>184.8</v>
      </c>
      <c r="Q347" s="4">
        <v>175.5</v>
      </c>
      <c r="R347" s="4">
        <v>194.5</v>
      </c>
      <c r="S347" s="4">
        <v>184.7</v>
      </c>
      <c r="T347" s="4">
        <v>183.3</v>
      </c>
      <c r="U347" s="4">
        <v>184.5</v>
      </c>
      <c r="V347" s="4" t="s">
        <v>26</v>
      </c>
      <c r="W347" s="4">
        <v>179.7</v>
      </c>
      <c r="X347" s="4">
        <v>173.6</v>
      </c>
      <c r="Y347" s="4">
        <v>180.2</v>
      </c>
      <c r="Z347" s="4">
        <v>166.9</v>
      </c>
      <c r="AA347" s="4">
        <v>170</v>
      </c>
      <c r="AB347" s="4">
        <v>176.2</v>
      </c>
      <c r="AC347" s="4">
        <v>170.8</v>
      </c>
      <c r="AD347" s="4">
        <v>173.1</v>
      </c>
      <c r="AE347" s="4">
        <v>176.4</v>
      </c>
    </row>
    <row r="348" spans="1:31" x14ac:dyDescent="0.25">
      <c r="A348" s="4" t="s">
        <v>11</v>
      </c>
      <c r="B348" s="4">
        <v>2022</v>
      </c>
      <c r="C348" s="4" t="s">
        <v>20</v>
      </c>
      <c r="D348" s="4" t="str">
        <f t="shared" si="5"/>
        <v>2022SeptemberUrban</v>
      </c>
      <c r="E348" s="4">
        <v>164.9</v>
      </c>
      <c r="F348" s="4">
        <v>213.7</v>
      </c>
      <c r="G348" s="4">
        <v>170.9</v>
      </c>
      <c r="H348" s="4">
        <v>170.1</v>
      </c>
      <c r="I348" s="4">
        <v>179.3</v>
      </c>
      <c r="J348" s="4">
        <v>167.5</v>
      </c>
      <c r="K348" s="4">
        <v>220.8</v>
      </c>
      <c r="L348" s="4">
        <v>169.2</v>
      </c>
      <c r="M348" s="4">
        <v>123.1</v>
      </c>
      <c r="N348" s="4">
        <v>193.6</v>
      </c>
      <c r="O348" s="4">
        <v>161.1</v>
      </c>
      <c r="P348" s="4">
        <v>190.4</v>
      </c>
      <c r="Q348" s="4">
        <v>181.8</v>
      </c>
      <c r="R348" s="4">
        <v>199.7</v>
      </c>
      <c r="S348" s="4">
        <v>175</v>
      </c>
      <c r="T348" s="4">
        <v>161.69999999999999</v>
      </c>
      <c r="U348" s="4">
        <v>173</v>
      </c>
      <c r="V348" s="4">
        <v>169.5</v>
      </c>
      <c r="W348" s="4">
        <v>179.2</v>
      </c>
      <c r="X348" s="4">
        <v>165</v>
      </c>
      <c r="Y348" s="4">
        <v>173.8</v>
      </c>
      <c r="Z348" s="4">
        <v>158.19999999999999</v>
      </c>
      <c r="AA348" s="4">
        <v>165.8</v>
      </c>
      <c r="AB348" s="4">
        <v>170.9</v>
      </c>
      <c r="AC348" s="4">
        <v>171.1</v>
      </c>
      <c r="AD348" s="4">
        <v>166.1</v>
      </c>
      <c r="AE348" s="4">
        <v>174.1</v>
      </c>
    </row>
    <row r="349" spans="1:31" x14ac:dyDescent="0.25">
      <c r="A349" s="4" t="s">
        <v>12</v>
      </c>
      <c r="B349" s="4">
        <v>2022</v>
      </c>
      <c r="C349" s="4" t="s">
        <v>20</v>
      </c>
      <c r="D349" s="4" t="str">
        <f t="shared" si="5"/>
        <v>2022SeptemberRural+Urban</v>
      </c>
      <c r="E349" s="4">
        <v>163.5</v>
      </c>
      <c r="F349" s="4">
        <v>209.2</v>
      </c>
      <c r="G349" s="4">
        <v>169.7</v>
      </c>
      <c r="H349" s="4">
        <v>169.7</v>
      </c>
      <c r="I349" s="4">
        <v>188.7</v>
      </c>
      <c r="J349" s="4">
        <v>165.7</v>
      </c>
      <c r="K349" s="4">
        <v>191.8</v>
      </c>
      <c r="L349" s="4">
        <v>169.1</v>
      </c>
      <c r="M349" s="4">
        <v>121.6</v>
      </c>
      <c r="N349" s="4">
        <v>197.3</v>
      </c>
      <c r="O349" s="4">
        <v>169.4</v>
      </c>
      <c r="P349" s="4">
        <v>187.4</v>
      </c>
      <c r="Q349" s="4">
        <v>177.8</v>
      </c>
      <c r="R349" s="4">
        <v>195.9</v>
      </c>
      <c r="S349" s="4">
        <v>180.9</v>
      </c>
      <c r="T349" s="4">
        <v>174.3</v>
      </c>
      <c r="U349" s="4">
        <v>179.9</v>
      </c>
      <c r="V349" s="4">
        <v>169.5</v>
      </c>
      <c r="W349" s="4">
        <v>179.5</v>
      </c>
      <c r="X349" s="4">
        <v>169.5</v>
      </c>
      <c r="Y349" s="4">
        <v>177.8</v>
      </c>
      <c r="Z349" s="4">
        <v>162.30000000000001</v>
      </c>
      <c r="AA349" s="4">
        <v>167.6</v>
      </c>
      <c r="AB349" s="4">
        <v>173.1</v>
      </c>
      <c r="AC349" s="4">
        <v>170.9</v>
      </c>
      <c r="AD349" s="4">
        <v>169.7</v>
      </c>
      <c r="AE349" s="4">
        <v>175.3</v>
      </c>
    </row>
    <row r="350" spans="1:31" x14ac:dyDescent="0.25">
      <c r="A350" s="4" t="s">
        <v>9</v>
      </c>
      <c r="B350" s="4">
        <v>2022</v>
      </c>
      <c r="C350" s="4" t="s">
        <v>21</v>
      </c>
      <c r="D350" s="4" t="str">
        <f t="shared" si="5"/>
        <v>2022OctoberRural</v>
      </c>
      <c r="E350" s="4">
        <v>164.7</v>
      </c>
      <c r="F350" s="4">
        <v>208.8</v>
      </c>
      <c r="G350" s="4">
        <v>170.3</v>
      </c>
      <c r="H350" s="4">
        <v>170.9</v>
      </c>
      <c r="I350" s="4">
        <v>191.6</v>
      </c>
      <c r="J350" s="4">
        <v>162.19999999999999</v>
      </c>
      <c r="K350" s="4">
        <v>184.8</v>
      </c>
      <c r="L350" s="4">
        <v>169.7</v>
      </c>
      <c r="M350" s="4">
        <v>121.1</v>
      </c>
      <c r="N350" s="4">
        <v>201.6</v>
      </c>
      <c r="O350" s="4">
        <v>175.8</v>
      </c>
      <c r="P350" s="4">
        <v>185.6</v>
      </c>
      <c r="Q350" s="4">
        <v>177.4</v>
      </c>
      <c r="R350" s="4">
        <v>194.9</v>
      </c>
      <c r="S350" s="4">
        <v>186.1</v>
      </c>
      <c r="T350" s="4">
        <v>184.4</v>
      </c>
      <c r="U350" s="4">
        <v>185.9</v>
      </c>
      <c r="V350" s="4" t="s">
        <v>26</v>
      </c>
      <c r="W350" s="4">
        <v>180.8</v>
      </c>
      <c r="X350" s="4">
        <v>174.4</v>
      </c>
      <c r="Y350" s="4">
        <v>181.2</v>
      </c>
      <c r="Z350" s="4">
        <v>167.4</v>
      </c>
      <c r="AA350" s="4">
        <v>170.6</v>
      </c>
      <c r="AB350" s="4">
        <v>176.5</v>
      </c>
      <c r="AC350" s="4">
        <v>172</v>
      </c>
      <c r="AD350" s="4">
        <v>173.9</v>
      </c>
      <c r="AE350" s="4">
        <v>177.9</v>
      </c>
    </row>
    <row r="351" spans="1:31" x14ac:dyDescent="0.25">
      <c r="A351" s="4" t="s">
        <v>11</v>
      </c>
      <c r="B351" s="4">
        <v>2022</v>
      </c>
      <c r="C351" s="4" t="s">
        <v>21</v>
      </c>
      <c r="D351" s="4" t="str">
        <f t="shared" si="5"/>
        <v>2022OctoberUrban</v>
      </c>
      <c r="E351" s="4">
        <v>166.4</v>
      </c>
      <c r="F351" s="4">
        <v>214.9</v>
      </c>
      <c r="G351" s="4">
        <v>171.9</v>
      </c>
      <c r="H351" s="4">
        <v>171</v>
      </c>
      <c r="I351" s="4">
        <v>177.7</v>
      </c>
      <c r="J351" s="4">
        <v>165.7</v>
      </c>
      <c r="K351" s="4">
        <v>228.6</v>
      </c>
      <c r="L351" s="4">
        <v>169.9</v>
      </c>
      <c r="M351" s="4">
        <v>123.4</v>
      </c>
      <c r="N351" s="4">
        <v>196.4</v>
      </c>
      <c r="O351" s="4">
        <v>161.6</v>
      </c>
      <c r="P351" s="4">
        <v>191.5</v>
      </c>
      <c r="Q351" s="4">
        <v>183.3</v>
      </c>
      <c r="R351" s="4">
        <v>200.1</v>
      </c>
      <c r="S351" s="4">
        <v>175.5</v>
      </c>
      <c r="T351" s="4">
        <v>162.6</v>
      </c>
      <c r="U351" s="4">
        <v>173.6</v>
      </c>
      <c r="V351" s="4">
        <v>171.2</v>
      </c>
      <c r="W351" s="4">
        <v>180</v>
      </c>
      <c r="X351" s="4">
        <v>166</v>
      </c>
      <c r="Y351" s="4">
        <v>174.7</v>
      </c>
      <c r="Z351" s="4">
        <v>158.80000000000001</v>
      </c>
      <c r="AA351" s="4">
        <v>166.3</v>
      </c>
      <c r="AB351" s="4">
        <v>171.2</v>
      </c>
      <c r="AC351" s="4">
        <v>172.3</v>
      </c>
      <c r="AD351" s="4">
        <v>166.8</v>
      </c>
      <c r="AE351" s="4">
        <v>175.3</v>
      </c>
    </row>
    <row r="352" spans="1:31" x14ac:dyDescent="0.25">
      <c r="A352" s="4" t="s">
        <v>12</v>
      </c>
      <c r="B352" s="4">
        <v>2022</v>
      </c>
      <c r="C352" s="4" t="s">
        <v>21</v>
      </c>
      <c r="D352" s="4" t="str">
        <f t="shared" si="5"/>
        <v>2022OctoberRural+Urban</v>
      </c>
      <c r="E352" s="4">
        <v>165.2</v>
      </c>
      <c r="F352" s="4">
        <v>210.9</v>
      </c>
      <c r="G352" s="4">
        <v>170.9</v>
      </c>
      <c r="H352" s="4">
        <v>170.9</v>
      </c>
      <c r="I352" s="4">
        <v>186.5</v>
      </c>
      <c r="J352" s="4">
        <v>163.80000000000001</v>
      </c>
      <c r="K352" s="4">
        <v>199.7</v>
      </c>
      <c r="L352" s="4">
        <v>169.8</v>
      </c>
      <c r="M352" s="4">
        <v>121.9</v>
      </c>
      <c r="N352" s="4">
        <v>199.9</v>
      </c>
      <c r="O352" s="4">
        <v>169.9</v>
      </c>
      <c r="P352" s="4">
        <v>188.3</v>
      </c>
      <c r="Q352" s="4">
        <v>179.6</v>
      </c>
      <c r="R352" s="4">
        <v>196.3</v>
      </c>
      <c r="S352" s="4">
        <v>181.9</v>
      </c>
      <c r="T352" s="4">
        <v>175.3</v>
      </c>
      <c r="U352" s="4">
        <v>181</v>
      </c>
      <c r="V352" s="4">
        <v>171.2</v>
      </c>
      <c r="W352" s="4">
        <v>180.5</v>
      </c>
      <c r="X352" s="4">
        <v>170.4</v>
      </c>
      <c r="Y352" s="4">
        <v>178.7</v>
      </c>
      <c r="Z352" s="4">
        <v>162.9</v>
      </c>
      <c r="AA352" s="4">
        <v>168.2</v>
      </c>
      <c r="AB352" s="4">
        <v>173.4</v>
      </c>
      <c r="AC352" s="4">
        <v>172.1</v>
      </c>
      <c r="AD352" s="4">
        <v>170.5</v>
      </c>
      <c r="AE352" s="4">
        <v>176.7</v>
      </c>
    </row>
    <row r="353" spans="1:31" x14ac:dyDescent="0.25">
      <c r="A353" s="4" t="s">
        <v>9</v>
      </c>
      <c r="B353" s="4">
        <v>2022</v>
      </c>
      <c r="C353" s="4" t="s">
        <v>23</v>
      </c>
      <c r="D353" s="4" t="str">
        <f t="shared" si="5"/>
        <v>2022NovemberRural</v>
      </c>
      <c r="E353" s="4">
        <v>166.9</v>
      </c>
      <c r="F353" s="4">
        <v>207.2</v>
      </c>
      <c r="G353" s="4">
        <v>180.2</v>
      </c>
      <c r="H353" s="4">
        <v>172.3</v>
      </c>
      <c r="I353" s="4">
        <v>194</v>
      </c>
      <c r="J353" s="4">
        <v>159.1</v>
      </c>
      <c r="K353" s="4">
        <v>171.6</v>
      </c>
      <c r="L353" s="4">
        <v>170.2</v>
      </c>
      <c r="M353" s="4">
        <v>121.5</v>
      </c>
      <c r="N353" s="4">
        <v>204.8</v>
      </c>
      <c r="O353" s="4">
        <v>176.4</v>
      </c>
      <c r="P353" s="4">
        <v>186.9</v>
      </c>
      <c r="Q353" s="4">
        <v>176.6</v>
      </c>
      <c r="R353" s="4">
        <v>195.5</v>
      </c>
      <c r="S353" s="4">
        <v>187.2</v>
      </c>
      <c r="T353" s="4">
        <v>185.2</v>
      </c>
      <c r="U353" s="4">
        <v>186.9</v>
      </c>
      <c r="V353" s="4" t="s">
        <v>26</v>
      </c>
      <c r="W353" s="4">
        <v>181.9</v>
      </c>
      <c r="X353" s="4">
        <v>175.5</v>
      </c>
      <c r="Y353" s="4">
        <v>182.3</v>
      </c>
      <c r="Z353" s="4">
        <v>167.5</v>
      </c>
      <c r="AA353" s="4">
        <v>170.8</v>
      </c>
      <c r="AB353" s="4">
        <v>176.9</v>
      </c>
      <c r="AC353" s="4">
        <v>173.4</v>
      </c>
      <c r="AD353" s="4">
        <v>174.6</v>
      </c>
      <c r="AE353" s="4">
        <v>177.8</v>
      </c>
    </row>
    <row r="354" spans="1:31" x14ac:dyDescent="0.25">
      <c r="A354" s="4" t="s">
        <v>11</v>
      </c>
      <c r="B354" s="4">
        <v>2022</v>
      </c>
      <c r="C354" s="4" t="s">
        <v>23</v>
      </c>
      <c r="D354" s="4" t="str">
        <f t="shared" si="5"/>
        <v>2022NovemberUrban</v>
      </c>
      <c r="E354" s="4">
        <v>168.4</v>
      </c>
      <c r="F354" s="4">
        <v>213.4</v>
      </c>
      <c r="G354" s="4">
        <v>183.2</v>
      </c>
      <c r="H354" s="4">
        <v>172.3</v>
      </c>
      <c r="I354" s="4">
        <v>180</v>
      </c>
      <c r="J354" s="4">
        <v>162.6</v>
      </c>
      <c r="K354" s="4">
        <v>205.5</v>
      </c>
      <c r="L354" s="4">
        <v>171</v>
      </c>
      <c r="M354" s="4">
        <v>123.4</v>
      </c>
      <c r="N354" s="4">
        <v>198.8</v>
      </c>
      <c r="O354" s="4">
        <v>162.1</v>
      </c>
      <c r="P354" s="4">
        <v>192.4</v>
      </c>
      <c r="Q354" s="4">
        <v>181.3</v>
      </c>
      <c r="R354" s="4">
        <v>200.6</v>
      </c>
      <c r="S354" s="4">
        <v>176.7</v>
      </c>
      <c r="T354" s="4">
        <v>163.5</v>
      </c>
      <c r="U354" s="4">
        <v>174.7</v>
      </c>
      <c r="V354" s="4">
        <v>171.8</v>
      </c>
      <c r="W354" s="4">
        <v>180.3</v>
      </c>
      <c r="X354" s="4">
        <v>166.9</v>
      </c>
      <c r="Y354" s="4">
        <v>175.8</v>
      </c>
      <c r="Z354" s="4">
        <v>158.9</v>
      </c>
      <c r="AA354" s="4">
        <v>166.7</v>
      </c>
      <c r="AB354" s="4">
        <v>171.5</v>
      </c>
      <c r="AC354" s="4">
        <v>173.8</v>
      </c>
      <c r="AD354" s="4">
        <v>167.4</v>
      </c>
      <c r="AE354" s="4">
        <v>174.1</v>
      </c>
    </row>
    <row r="355" spans="1:31" x14ac:dyDescent="0.25">
      <c r="A355" s="4" t="s">
        <v>12</v>
      </c>
      <c r="B355" s="4">
        <v>2022</v>
      </c>
      <c r="C355" s="4" t="s">
        <v>23</v>
      </c>
      <c r="D355" s="4" t="str">
        <f t="shared" si="5"/>
        <v>2022NovemberRural+Urban</v>
      </c>
      <c r="E355" s="4">
        <v>167.4</v>
      </c>
      <c r="F355" s="4">
        <v>209.4</v>
      </c>
      <c r="G355" s="4">
        <v>181.4</v>
      </c>
      <c r="H355" s="4">
        <v>172.3</v>
      </c>
      <c r="I355" s="4">
        <v>188.9</v>
      </c>
      <c r="J355" s="4">
        <v>160.69999999999999</v>
      </c>
      <c r="K355" s="4">
        <v>183.1</v>
      </c>
      <c r="L355" s="4">
        <v>170.5</v>
      </c>
      <c r="M355" s="4">
        <v>122.1</v>
      </c>
      <c r="N355" s="4">
        <v>202.8</v>
      </c>
      <c r="O355" s="4">
        <v>170.4</v>
      </c>
      <c r="P355" s="4">
        <v>189.5</v>
      </c>
      <c r="Q355" s="4">
        <v>178.3</v>
      </c>
      <c r="R355" s="4">
        <v>196.9</v>
      </c>
      <c r="S355" s="4">
        <v>183.1</v>
      </c>
      <c r="T355" s="4">
        <v>176.2</v>
      </c>
      <c r="U355" s="4">
        <v>182.1</v>
      </c>
      <c r="V355" s="4">
        <v>171.8</v>
      </c>
      <c r="W355" s="4">
        <v>181.3</v>
      </c>
      <c r="X355" s="4">
        <v>171.4</v>
      </c>
      <c r="Y355" s="4">
        <v>179.8</v>
      </c>
      <c r="Z355" s="4">
        <v>163</v>
      </c>
      <c r="AA355" s="4">
        <v>168.5</v>
      </c>
      <c r="AB355" s="4">
        <v>173.7</v>
      </c>
      <c r="AC355" s="4">
        <v>173.6</v>
      </c>
      <c r="AD355" s="4">
        <v>171.1</v>
      </c>
      <c r="AE355" s="4">
        <v>176.5</v>
      </c>
    </row>
    <row r="356" spans="1:31" x14ac:dyDescent="0.25">
      <c r="A356" s="4" t="s">
        <v>9</v>
      </c>
      <c r="B356" s="4">
        <v>2022</v>
      </c>
      <c r="C356" s="4" t="s">
        <v>24</v>
      </c>
      <c r="D356" s="4" t="str">
        <f t="shared" si="5"/>
        <v>2022DecemberRural</v>
      </c>
      <c r="E356" s="4">
        <v>168.8</v>
      </c>
      <c r="F356" s="4">
        <v>206.9</v>
      </c>
      <c r="G356" s="4">
        <v>189.1</v>
      </c>
      <c r="H356" s="4">
        <v>173.4</v>
      </c>
      <c r="I356" s="4">
        <v>193.9</v>
      </c>
      <c r="J356" s="4">
        <v>156.69999999999999</v>
      </c>
      <c r="K356" s="4">
        <v>150.19999999999999</v>
      </c>
      <c r="L356" s="4">
        <v>170.5</v>
      </c>
      <c r="M356" s="4">
        <v>121.2</v>
      </c>
      <c r="N356" s="4">
        <v>207.5</v>
      </c>
      <c r="O356" s="4">
        <v>176.8</v>
      </c>
      <c r="P356" s="4">
        <v>187.7</v>
      </c>
      <c r="Q356" s="4">
        <v>174.4</v>
      </c>
      <c r="R356" s="4">
        <v>195.9</v>
      </c>
      <c r="S356" s="4">
        <v>188.1</v>
      </c>
      <c r="T356" s="4">
        <v>185.9</v>
      </c>
      <c r="U356" s="4">
        <v>187.8</v>
      </c>
      <c r="V356" s="4" t="s">
        <v>26</v>
      </c>
      <c r="W356" s="4">
        <v>182.8</v>
      </c>
      <c r="X356" s="4">
        <v>176.4</v>
      </c>
      <c r="Y356" s="4">
        <v>183.5</v>
      </c>
      <c r="Z356" s="4">
        <v>167.8</v>
      </c>
      <c r="AA356" s="4">
        <v>171.2</v>
      </c>
      <c r="AB356" s="4">
        <v>177.3</v>
      </c>
      <c r="AC356" s="4">
        <v>175.7</v>
      </c>
      <c r="AD356" s="4">
        <v>175.5</v>
      </c>
      <c r="AE356" s="4">
        <v>177.1</v>
      </c>
    </row>
    <row r="357" spans="1:31" x14ac:dyDescent="0.25">
      <c r="A357" s="4" t="s">
        <v>11</v>
      </c>
      <c r="B357" s="4">
        <v>2022</v>
      </c>
      <c r="C357" s="4" t="s">
        <v>24</v>
      </c>
      <c r="D357" s="4" t="str">
        <f t="shared" si="5"/>
        <v>2022DecemberUrban</v>
      </c>
      <c r="E357" s="4">
        <v>170.2</v>
      </c>
      <c r="F357" s="4">
        <v>212.9</v>
      </c>
      <c r="G357" s="4">
        <v>191.9</v>
      </c>
      <c r="H357" s="4">
        <v>173.9</v>
      </c>
      <c r="I357" s="4">
        <v>179.1</v>
      </c>
      <c r="J357" s="4">
        <v>159.5</v>
      </c>
      <c r="K357" s="4">
        <v>178.7</v>
      </c>
      <c r="L357" s="4">
        <v>171.3</v>
      </c>
      <c r="M357" s="4">
        <v>123.1</v>
      </c>
      <c r="N357" s="4">
        <v>200.5</v>
      </c>
      <c r="O357" s="4">
        <v>162.80000000000001</v>
      </c>
      <c r="P357" s="4">
        <v>193.3</v>
      </c>
      <c r="Q357" s="4">
        <v>178.6</v>
      </c>
      <c r="R357" s="4">
        <v>201.1</v>
      </c>
      <c r="S357" s="4">
        <v>177.7</v>
      </c>
      <c r="T357" s="4">
        <v>164.5</v>
      </c>
      <c r="U357" s="4">
        <v>175.7</v>
      </c>
      <c r="V357" s="4">
        <v>170.7</v>
      </c>
      <c r="W357" s="4">
        <v>180.6</v>
      </c>
      <c r="X357" s="4">
        <v>167.3</v>
      </c>
      <c r="Y357" s="4">
        <v>177.2</v>
      </c>
      <c r="Z357" s="4">
        <v>159.4</v>
      </c>
      <c r="AA357" s="4">
        <v>167.1</v>
      </c>
      <c r="AB357" s="4">
        <v>171.8</v>
      </c>
      <c r="AC357" s="4">
        <v>176</v>
      </c>
      <c r="AD357" s="4">
        <v>168.2</v>
      </c>
      <c r="AE357" s="4">
        <v>174.1</v>
      </c>
    </row>
    <row r="358" spans="1:31" x14ac:dyDescent="0.25">
      <c r="A358" s="4" t="s">
        <v>12</v>
      </c>
      <c r="B358" s="4">
        <v>2022</v>
      </c>
      <c r="C358" s="4" t="s">
        <v>24</v>
      </c>
      <c r="D358" s="4" t="str">
        <f t="shared" si="5"/>
        <v>2022DecemberRural+Urban</v>
      </c>
      <c r="E358" s="4">
        <v>169.2</v>
      </c>
      <c r="F358" s="4">
        <v>209</v>
      </c>
      <c r="G358" s="4">
        <v>190.2</v>
      </c>
      <c r="H358" s="4">
        <v>173.6</v>
      </c>
      <c r="I358" s="4">
        <v>188.5</v>
      </c>
      <c r="J358" s="4">
        <v>158</v>
      </c>
      <c r="K358" s="4">
        <v>159.9</v>
      </c>
      <c r="L358" s="4">
        <v>170.8</v>
      </c>
      <c r="M358" s="4">
        <v>121.8</v>
      </c>
      <c r="N358" s="4">
        <v>205.2</v>
      </c>
      <c r="O358" s="4">
        <v>171</v>
      </c>
      <c r="P358" s="4">
        <v>190.3</v>
      </c>
      <c r="Q358" s="4">
        <v>175.9</v>
      </c>
      <c r="R358" s="4">
        <v>197.3</v>
      </c>
      <c r="S358" s="4">
        <v>184</v>
      </c>
      <c r="T358" s="4">
        <v>177</v>
      </c>
      <c r="U358" s="4">
        <v>183</v>
      </c>
      <c r="V358" s="4">
        <v>170.7</v>
      </c>
      <c r="W358" s="4">
        <v>182</v>
      </c>
      <c r="X358" s="4">
        <v>172.1</v>
      </c>
      <c r="Y358" s="4">
        <v>181.1</v>
      </c>
      <c r="Z358" s="4">
        <v>163.4</v>
      </c>
      <c r="AA358" s="4">
        <v>168.9</v>
      </c>
      <c r="AB358" s="4">
        <v>174.1</v>
      </c>
      <c r="AC358" s="4">
        <v>175.8</v>
      </c>
      <c r="AD358" s="4">
        <v>172</v>
      </c>
      <c r="AE358" s="4">
        <v>175.7</v>
      </c>
    </row>
    <row r="359" spans="1:31" x14ac:dyDescent="0.25">
      <c r="A359" t="s">
        <v>9</v>
      </c>
      <c r="B359">
        <v>2023</v>
      </c>
      <c r="C359" t="s">
        <v>10</v>
      </c>
      <c r="D359" t="str">
        <f t="shared" si="5"/>
        <v>2023JanuaryRural</v>
      </c>
      <c r="E359">
        <v>174</v>
      </c>
      <c r="F359">
        <v>208.3</v>
      </c>
      <c r="G359">
        <v>192.9</v>
      </c>
      <c r="H359">
        <v>174.3</v>
      </c>
      <c r="I359">
        <v>192.6</v>
      </c>
      <c r="J359">
        <v>156.30000000000001</v>
      </c>
      <c r="K359">
        <v>142.9</v>
      </c>
      <c r="L359">
        <v>170.7</v>
      </c>
      <c r="M359">
        <v>120.3</v>
      </c>
      <c r="N359">
        <v>210.5</v>
      </c>
      <c r="O359">
        <v>176.9</v>
      </c>
      <c r="P359">
        <v>188.5</v>
      </c>
      <c r="Q359">
        <v>175</v>
      </c>
      <c r="R359">
        <v>196.9</v>
      </c>
      <c r="S359">
        <v>189</v>
      </c>
      <c r="T359">
        <v>186.3</v>
      </c>
      <c r="U359">
        <v>188.6</v>
      </c>
      <c r="V359" t="s">
        <v>26</v>
      </c>
      <c r="W359">
        <v>183.2</v>
      </c>
      <c r="X359">
        <v>177.2</v>
      </c>
      <c r="Y359">
        <v>184.7</v>
      </c>
      <c r="Z359">
        <v>168.2</v>
      </c>
      <c r="AA359">
        <v>171.8</v>
      </c>
      <c r="AB359">
        <v>177.8</v>
      </c>
      <c r="AC359">
        <v>178.4</v>
      </c>
      <c r="AD359">
        <v>176.5</v>
      </c>
      <c r="AE359">
        <v>177.8</v>
      </c>
    </row>
    <row r="360" spans="1:31" x14ac:dyDescent="0.25">
      <c r="A360" t="s">
        <v>11</v>
      </c>
      <c r="B360">
        <v>2023</v>
      </c>
      <c r="C360" t="s">
        <v>10</v>
      </c>
      <c r="D360" t="str">
        <f t="shared" si="5"/>
        <v>2023JanuaryUrban</v>
      </c>
      <c r="E360">
        <v>173.3</v>
      </c>
      <c r="F360">
        <v>215.2</v>
      </c>
      <c r="G360">
        <v>197</v>
      </c>
      <c r="H360">
        <v>175.2</v>
      </c>
      <c r="I360">
        <v>178</v>
      </c>
      <c r="J360">
        <v>160.5</v>
      </c>
      <c r="K360">
        <v>175.3</v>
      </c>
      <c r="L360">
        <v>171.2</v>
      </c>
      <c r="M360">
        <v>122.7</v>
      </c>
      <c r="N360">
        <v>204.3</v>
      </c>
      <c r="O360">
        <v>163.69999999999999</v>
      </c>
      <c r="P360">
        <v>194.3</v>
      </c>
      <c r="Q360">
        <v>179.5</v>
      </c>
      <c r="R360">
        <v>201.6</v>
      </c>
      <c r="S360">
        <v>178.7</v>
      </c>
      <c r="T360">
        <v>165.3</v>
      </c>
      <c r="U360">
        <v>176.6</v>
      </c>
      <c r="V360">
        <v>172.1</v>
      </c>
      <c r="W360">
        <v>180.1</v>
      </c>
      <c r="X360">
        <v>168</v>
      </c>
      <c r="Y360">
        <v>178.5</v>
      </c>
      <c r="Z360">
        <v>159.5</v>
      </c>
      <c r="AA360">
        <v>167.8</v>
      </c>
      <c r="AB360">
        <v>171.8</v>
      </c>
      <c r="AC360">
        <v>178.8</v>
      </c>
      <c r="AD360">
        <v>168.9</v>
      </c>
      <c r="AE360">
        <v>174.9</v>
      </c>
    </row>
    <row r="361" spans="1:31" x14ac:dyDescent="0.25">
      <c r="A361" t="s">
        <v>12</v>
      </c>
      <c r="B361">
        <v>2023</v>
      </c>
      <c r="C361" t="s">
        <v>10</v>
      </c>
      <c r="D361" t="str">
        <f t="shared" si="5"/>
        <v>2023JanuaryRural+Urban</v>
      </c>
      <c r="E361">
        <v>173.8</v>
      </c>
      <c r="F361">
        <v>210.7</v>
      </c>
      <c r="G361">
        <v>194.5</v>
      </c>
      <c r="H361">
        <v>174.6</v>
      </c>
      <c r="I361">
        <v>187.2</v>
      </c>
      <c r="J361">
        <v>158.30000000000001</v>
      </c>
      <c r="K361">
        <v>153.9</v>
      </c>
      <c r="L361">
        <v>170.9</v>
      </c>
      <c r="M361">
        <v>121.1</v>
      </c>
      <c r="N361">
        <v>208.4</v>
      </c>
      <c r="O361">
        <v>171.4</v>
      </c>
      <c r="P361">
        <v>191.2</v>
      </c>
      <c r="Q361">
        <v>176.7</v>
      </c>
      <c r="R361">
        <v>198.2</v>
      </c>
      <c r="S361">
        <v>184.9</v>
      </c>
      <c r="T361">
        <v>177.6</v>
      </c>
      <c r="U361">
        <v>183.8</v>
      </c>
      <c r="V361">
        <v>172.1</v>
      </c>
      <c r="W361">
        <v>182</v>
      </c>
      <c r="X361">
        <v>172.9</v>
      </c>
      <c r="Y361">
        <v>182.3</v>
      </c>
      <c r="Z361">
        <v>163.6</v>
      </c>
      <c r="AA361">
        <v>169.5</v>
      </c>
      <c r="AB361">
        <v>174.3</v>
      </c>
      <c r="AC361">
        <v>178.6</v>
      </c>
      <c r="AD361">
        <v>172.8</v>
      </c>
      <c r="AE361">
        <v>176.5</v>
      </c>
    </row>
    <row r="362" spans="1:31" x14ac:dyDescent="0.25">
      <c r="A362" t="s">
        <v>9</v>
      </c>
      <c r="B362">
        <v>2023</v>
      </c>
      <c r="C362" t="s">
        <v>13</v>
      </c>
      <c r="D362" t="str">
        <f t="shared" si="5"/>
        <v>2023FebruaryRural</v>
      </c>
      <c r="E362">
        <v>174.2</v>
      </c>
      <c r="F362">
        <v>205.2</v>
      </c>
      <c r="G362">
        <v>173.9</v>
      </c>
      <c r="H362">
        <v>177</v>
      </c>
      <c r="I362">
        <v>183.4</v>
      </c>
      <c r="J362">
        <v>167.2</v>
      </c>
      <c r="K362">
        <v>140.9</v>
      </c>
      <c r="L362">
        <v>170.4</v>
      </c>
      <c r="M362">
        <v>119.1</v>
      </c>
      <c r="N362">
        <v>212.1</v>
      </c>
      <c r="O362">
        <v>177.6</v>
      </c>
      <c r="P362">
        <v>189.9</v>
      </c>
      <c r="Q362">
        <v>174.8</v>
      </c>
      <c r="R362">
        <v>198.3</v>
      </c>
      <c r="S362">
        <v>190</v>
      </c>
      <c r="T362">
        <v>187</v>
      </c>
      <c r="U362">
        <v>189.6</v>
      </c>
      <c r="V362" t="s">
        <v>26</v>
      </c>
      <c r="W362">
        <v>181.6</v>
      </c>
      <c r="X362">
        <v>178.6</v>
      </c>
      <c r="Y362">
        <v>186.6</v>
      </c>
      <c r="Z362">
        <v>169</v>
      </c>
      <c r="AA362">
        <v>172.8</v>
      </c>
      <c r="AB362">
        <v>178.5</v>
      </c>
      <c r="AC362">
        <v>180.7</v>
      </c>
      <c r="AD362">
        <v>177.9</v>
      </c>
      <c r="AE362">
        <v>178</v>
      </c>
    </row>
    <row r="363" spans="1:31" x14ac:dyDescent="0.25">
      <c r="A363" t="s">
        <v>11</v>
      </c>
      <c r="B363">
        <v>2023</v>
      </c>
      <c r="C363" t="s">
        <v>13</v>
      </c>
      <c r="D363" t="str">
        <f t="shared" si="5"/>
        <v>2023FebruaryUrban</v>
      </c>
      <c r="E363">
        <v>174.7</v>
      </c>
      <c r="F363">
        <v>212.2</v>
      </c>
      <c r="G363">
        <v>177.2</v>
      </c>
      <c r="H363">
        <v>177.9</v>
      </c>
      <c r="I363">
        <v>172.2</v>
      </c>
      <c r="J363">
        <v>172.1</v>
      </c>
      <c r="K363">
        <v>175.8</v>
      </c>
      <c r="L363">
        <v>172.2</v>
      </c>
      <c r="M363">
        <v>121.9</v>
      </c>
      <c r="N363">
        <v>204.8</v>
      </c>
      <c r="O363">
        <v>164.9</v>
      </c>
      <c r="P363">
        <v>196.6</v>
      </c>
      <c r="Q363">
        <v>180.7</v>
      </c>
      <c r="R363">
        <v>202.7</v>
      </c>
      <c r="S363">
        <v>180.3</v>
      </c>
      <c r="T363">
        <v>167</v>
      </c>
      <c r="U363">
        <v>178.2</v>
      </c>
      <c r="V363">
        <v>173.5</v>
      </c>
      <c r="W363">
        <v>182.8</v>
      </c>
      <c r="X363">
        <v>169.2</v>
      </c>
      <c r="Y363">
        <v>180.8</v>
      </c>
      <c r="Z363">
        <v>159.80000000000001</v>
      </c>
      <c r="AA363">
        <v>168.4</v>
      </c>
      <c r="AB363">
        <v>172.5</v>
      </c>
      <c r="AC363">
        <v>181.4</v>
      </c>
      <c r="AD363">
        <v>170</v>
      </c>
      <c r="AE363">
        <v>176.3</v>
      </c>
    </row>
    <row r="364" spans="1:31" x14ac:dyDescent="0.25">
      <c r="A364" t="s">
        <v>12</v>
      </c>
      <c r="B364">
        <v>2023</v>
      </c>
      <c r="C364" t="s">
        <v>13</v>
      </c>
      <c r="D364" t="str">
        <f t="shared" si="5"/>
        <v>2023FebruaryRural+Urban</v>
      </c>
      <c r="E364">
        <v>174.4</v>
      </c>
      <c r="F364">
        <v>207.7</v>
      </c>
      <c r="G364">
        <v>175.2</v>
      </c>
      <c r="H364">
        <v>177.3</v>
      </c>
      <c r="I364">
        <v>179.3</v>
      </c>
      <c r="J364">
        <v>169.5</v>
      </c>
      <c r="K364">
        <v>152.69999999999999</v>
      </c>
      <c r="L364">
        <v>171</v>
      </c>
      <c r="M364">
        <v>120</v>
      </c>
      <c r="N364">
        <v>209.7</v>
      </c>
      <c r="O364">
        <v>172.3</v>
      </c>
      <c r="P364">
        <v>193</v>
      </c>
      <c r="Q364">
        <v>177</v>
      </c>
      <c r="R364">
        <v>199.5</v>
      </c>
      <c r="S364">
        <v>186.2</v>
      </c>
      <c r="T364">
        <v>178.7</v>
      </c>
      <c r="U364">
        <v>185.1</v>
      </c>
      <c r="V364">
        <v>173.5</v>
      </c>
      <c r="W364">
        <v>182.1</v>
      </c>
      <c r="X364">
        <v>174.2</v>
      </c>
      <c r="Y364">
        <v>184.4</v>
      </c>
      <c r="Z364">
        <v>164.2</v>
      </c>
      <c r="AA364">
        <v>170.3</v>
      </c>
      <c r="AB364">
        <v>175</v>
      </c>
      <c r="AC364">
        <v>181</v>
      </c>
      <c r="AD364">
        <v>174.1</v>
      </c>
      <c r="AE364">
        <v>177.2</v>
      </c>
    </row>
    <row r="365" spans="1:31" x14ac:dyDescent="0.25">
      <c r="A365" t="s">
        <v>9</v>
      </c>
      <c r="B365">
        <v>2023</v>
      </c>
      <c r="C365" t="s">
        <v>15</v>
      </c>
      <c r="D365" t="str">
        <f t="shared" si="5"/>
        <v>2023MarchRural</v>
      </c>
      <c r="E365">
        <v>174.3</v>
      </c>
      <c r="F365">
        <v>205.2</v>
      </c>
      <c r="G365">
        <v>173.9</v>
      </c>
      <c r="H365">
        <v>177</v>
      </c>
      <c r="I365">
        <v>183.3</v>
      </c>
      <c r="J365">
        <v>167.2</v>
      </c>
      <c r="K365">
        <v>140.9</v>
      </c>
      <c r="L365">
        <v>170.5</v>
      </c>
      <c r="M365">
        <v>119.1</v>
      </c>
      <c r="N365">
        <v>212.1</v>
      </c>
      <c r="O365">
        <v>177.6</v>
      </c>
      <c r="P365">
        <v>189.9</v>
      </c>
      <c r="Q365">
        <v>174.8</v>
      </c>
      <c r="R365">
        <v>198.4</v>
      </c>
      <c r="S365">
        <v>190</v>
      </c>
      <c r="T365">
        <v>187</v>
      </c>
      <c r="U365">
        <v>189.6</v>
      </c>
      <c r="V365" t="s">
        <v>26</v>
      </c>
      <c r="W365">
        <v>181.4</v>
      </c>
      <c r="X365">
        <v>178.6</v>
      </c>
      <c r="Y365">
        <v>186.6</v>
      </c>
      <c r="Z365">
        <v>169</v>
      </c>
      <c r="AA365">
        <v>172.8</v>
      </c>
      <c r="AB365">
        <v>178.5</v>
      </c>
      <c r="AC365">
        <v>180.7</v>
      </c>
      <c r="AD365">
        <v>177.9</v>
      </c>
      <c r="AE365">
        <v>178</v>
      </c>
    </row>
    <row r="366" spans="1:31" x14ac:dyDescent="0.25">
      <c r="A366" t="s">
        <v>11</v>
      </c>
      <c r="B366">
        <v>2023</v>
      </c>
      <c r="C366" t="s">
        <v>15</v>
      </c>
      <c r="D366" t="str">
        <f t="shared" si="5"/>
        <v>2023MarchUrban</v>
      </c>
      <c r="E366">
        <v>174.7</v>
      </c>
      <c r="F366">
        <v>212.2</v>
      </c>
      <c r="G366">
        <v>177.2</v>
      </c>
      <c r="H366">
        <v>177.9</v>
      </c>
      <c r="I366">
        <v>172.2</v>
      </c>
      <c r="J366">
        <v>172.1</v>
      </c>
      <c r="K366">
        <v>175.9</v>
      </c>
      <c r="L366">
        <v>172.2</v>
      </c>
      <c r="M366">
        <v>121.9</v>
      </c>
      <c r="N366">
        <v>204.8</v>
      </c>
      <c r="O366">
        <v>164.9</v>
      </c>
      <c r="P366">
        <v>196.6</v>
      </c>
      <c r="Q366">
        <v>180.8</v>
      </c>
      <c r="R366">
        <v>202.7</v>
      </c>
      <c r="S366">
        <v>180.2</v>
      </c>
      <c r="T366">
        <v>167</v>
      </c>
      <c r="U366">
        <v>178.2</v>
      </c>
      <c r="V366">
        <v>173.5</v>
      </c>
      <c r="W366">
        <v>182.6</v>
      </c>
      <c r="X366">
        <v>169.2</v>
      </c>
      <c r="Y366">
        <v>180.8</v>
      </c>
      <c r="Z366">
        <v>159.80000000000001</v>
      </c>
      <c r="AA366">
        <v>168.4</v>
      </c>
      <c r="AB366">
        <v>172.5</v>
      </c>
      <c r="AC366">
        <v>181.5</v>
      </c>
      <c r="AD366">
        <v>170</v>
      </c>
      <c r="AE366">
        <v>176.3</v>
      </c>
    </row>
    <row r="367" spans="1:31" x14ac:dyDescent="0.25">
      <c r="A367" t="s">
        <v>12</v>
      </c>
      <c r="B367">
        <v>2023</v>
      </c>
      <c r="C367" t="s">
        <v>15</v>
      </c>
      <c r="D367" t="str">
        <f t="shared" si="5"/>
        <v>2023MarchRural+Urban</v>
      </c>
      <c r="E367">
        <v>174.4</v>
      </c>
      <c r="F367">
        <v>207.7</v>
      </c>
      <c r="G367">
        <v>175.2</v>
      </c>
      <c r="H367">
        <v>177.3</v>
      </c>
      <c r="I367">
        <v>179.2</v>
      </c>
      <c r="J367">
        <v>169.5</v>
      </c>
      <c r="K367">
        <v>152.80000000000001</v>
      </c>
      <c r="L367">
        <v>171.1</v>
      </c>
      <c r="M367">
        <v>120</v>
      </c>
      <c r="N367">
        <v>209.7</v>
      </c>
      <c r="O367">
        <v>172.3</v>
      </c>
      <c r="P367">
        <v>193</v>
      </c>
      <c r="Q367">
        <v>177</v>
      </c>
      <c r="R367">
        <v>199.5</v>
      </c>
      <c r="S367">
        <v>186.1</v>
      </c>
      <c r="T367">
        <v>178.7</v>
      </c>
      <c r="U367">
        <v>185.1</v>
      </c>
      <c r="V367">
        <v>173.5</v>
      </c>
      <c r="W367">
        <v>181.9</v>
      </c>
      <c r="X367">
        <v>174.2</v>
      </c>
      <c r="Y367">
        <v>184.4</v>
      </c>
      <c r="Z367">
        <v>164.2</v>
      </c>
      <c r="AA367">
        <v>170.3</v>
      </c>
      <c r="AB367">
        <v>175</v>
      </c>
      <c r="AC367">
        <v>181</v>
      </c>
      <c r="AD367">
        <v>174.1</v>
      </c>
      <c r="AE367">
        <v>177.2</v>
      </c>
    </row>
    <row r="368" spans="1:31" x14ac:dyDescent="0.25">
      <c r="A368" t="s">
        <v>9</v>
      </c>
      <c r="B368">
        <v>2023</v>
      </c>
      <c r="C368" t="s">
        <v>16</v>
      </c>
      <c r="D368" t="str">
        <f t="shared" si="5"/>
        <v>2023AprilRural</v>
      </c>
      <c r="E368">
        <v>173.3</v>
      </c>
      <c r="F368">
        <v>206.9</v>
      </c>
      <c r="G368">
        <v>167.9</v>
      </c>
      <c r="H368">
        <v>178.2</v>
      </c>
      <c r="I368">
        <v>178.5</v>
      </c>
      <c r="J368">
        <v>173.7</v>
      </c>
      <c r="K368">
        <v>142.80000000000001</v>
      </c>
      <c r="L368">
        <v>172.8</v>
      </c>
      <c r="M368">
        <v>120.4</v>
      </c>
      <c r="N368">
        <v>215.5</v>
      </c>
      <c r="O368">
        <v>178.2</v>
      </c>
      <c r="P368">
        <v>190.5</v>
      </c>
      <c r="Q368">
        <v>175.5</v>
      </c>
      <c r="R368">
        <v>199.5</v>
      </c>
      <c r="S368">
        <v>190.7</v>
      </c>
      <c r="T368">
        <v>187.3</v>
      </c>
      <c r="U368">
        <v>190.2</v>
      </c>
      <c r="V368" t="s">
        <v>48</v>
      </c>
      <c r="W368">
        <v>181.5</v>
      </c>
      <c r="X368">
        <v>179.1</v>
      </c>
      <c r="Y368">
        <v>187.2</v>
      </c>
      <c r="Z368">
        <v>169.4</v>
      </c>
      <c r="AA368">
        <v>173.2</v>
      </c>
      <c r="AB368">
        <v>179.4</v>
      </c>
      <c r="AC368">
        <v>183.8</v>
      </c>
      <c r="AD368">
        <v>178.9</v>
      </c>
      <c r="AE368">
        <v>178.8</v>
      </c>
    </row>
    <row r="369" spans="1:31" x14ac:dyDescent="0.25">
      <c r="A369" t="s">
        <v>11</v>
      </c>
      <c r="B369">
        <v>2023</v>
      </c>
      <c r="C369" t="s">
        <v>16</v>
      </c>
      <c r="D369" t="str">
        <f t="shared" si="5"/>
        <v>2023AprilUrban</v>
      </c>
      <c r="E369">
        <v>174.8</v>
      </c>
      <c r="F369">
        <v>213.7</v>
      </c>
      <c r="G369">
        <v>172.4</v>
      </c>
      <c r="H369">
        <v>178.8</v>
      </c>
      <c r="I369">
        <v>168.7</v>
      </c>
      <c r="J369">
        <v>179.2</v>
      </c>
      <c r="K369">
        <v>179.9</v>
      </c>
      <c r="L369">
        <v>174.7</v>
      </c>
      <c r="M369">
        <v>123.1</v>
      </c>
      <c r="N369">
        <v>207.8</v>
      </c>
      <c r="O369">
        <v>165.5</v>
      </c>
      <c r="P369">
        <v>197</v>
      </c>
      <c r="Q369">
        <v>182.1</v>
      </c>
      <c r="R369">
        <v>203.5</v>
      </c>
      <c r="S369">
        <v>181</v>
      </c>
      <c r="T369">
        <v>167.7</v>
      </c>
      <c r="U369">
        <v>178.9</v>
      </c>
      <c r="V369">
        <v>175.2</v>
      </c>
      <c r="W369">
        <v>182.1</v>
      </c>
      <c r="X369">
        <v>169.6</v>
      </c>
      <c r="Y369">
        <v>181.5</v>
      </c>
      <c r="Z369">
        <v>160.1</v>
      </c>
      <c r="AA369">
        <v>168.8</v>
      </c>
      <c r="AB369">
        <v>174.2</v>
      </c>
      <c r="AC369">
        <v>184.4</v>
      </c>
      <c r="AD369">
        <v>170.9</v>
      </c>
      <c r="AE369">
        <v>177.4</v>
      </c>
    </row>
    <row r="370" spans="1:31" x14ac:dyDescent="0.25">
      <c r="A370" t="s">
        <v>12</v>
      </c>
      <c r="B370">
        <v>2023</v>
      </c>
      <c r="C370" t="s">
        <v>16</v>
      </c>
      <c r="D370" t="str">
        <f t="shared" si="5"/>
        <v>2023AprilRural+Urban</v>
      </c>
      <c r="E370">
        <v>173.8</v>
      </c>
      <c r="F370">
        <v>209.3</v>
      </c>
      <c r="G370">
        <v>169.6</v>
      </c>
      <c r="H370">
        <v>178.4</v>
      </c>
      <c r="I370">
        <v>174.9</v>
      </c>
      <c r="J370">
        <v>176.3</v>
      </c>
      <c r="K370">
        <v>155.4</v>
      </c>
      <c r="L370">
        <v>173.4</v>
      </c>
      <c r="M370">
        <v>121.3</v>
      </c>
      <c r="N370">
        <v>212.9</v>
      </c>
      <c r="O370">
        <v>172.9</v>
      </c>
      <c r="P370">
        <v>193.5</v>
      </c>
      <c r="Q370">
        <v>177.9</v>
      </c>
      <c r="R370">
        <v>200.6</v>
      </c>
      <c r="S370">
        <v>186.9</v>
      </c>
      <c r="T370">
        <v>179.2</v>
      </c>
      <c r="U370">
        <v>185.7</v>
      </c>
      <c r="V370">
        <v>175.2</v>
      </c>
      <c r="W370">
        <v>181.7</v>
      </c>
      <c r="X370">
        <v>174.6</v>
      </c>
      <c r="Y370">
        <v>185</v>
      </c>
      <c r="Z370">
        <v>164.5</v>
      </c>
      <c r="AA370">
        <v>170.7</v>
      </c>
      <c r="AB370">
        <v>176.4</v>
      </c>
      <c r="AC370">
        <v>184</v>
      </c>
      <c r="AD370">
        <v>175</v>
      </c>
      <c r="AE370">
        <v>178.1</v>
      </c>
    </row>
    <row r="371" spans="1:31" x14ac:dyDescent="0.25">
      <c r="A371" t="s">
        <v>9</v>
      </c>
      <c r="B371">
        <v>2023</v>
      </c>
      <c r="C371" t="s">
        <v>14</v>
      </c>
      <c r="D371" t="str">
        <f t="shared" si="5"/>
        <v>2023MayRural</v>
      </c>
      <c r="E371">
        <v>173.2</v>
      </c>
      <c r="F371">
        <v>211.5</v>
      </c>
      <c r="G371">
        <v>171</v>
      </c>
      <c r="H371">
        <v>179.6</v>
      </c>
      <c r="I371">
        <v>173.3</v>
      </c>
      <c r="J371">
        <v>169</v>
      </c>
      <c r="K371">
        <v>148.69999999999999</v>
      </c>
      <c r="L371">
        <v>174.9</v>
      </c>
      <c r="M371">
        <v>121.9</v>
      </c>
      <c r="N371">
        <v>221</v>
      </c>
      <c r="O371">
        <v>178.7</v>
      </c>
      <c r="P371">
        <v>191.1</v>
      </c>
      <c r="Q371">
        <v>176.8</v>
      </c>
      <c r="R371">
        <v>199.9</v>
      </c>
      <c r="S371">
        <v>191.2</v>
      </c>
      <c r="T371">
        <v>187.9</v>
      </c>
      <c r="U371">
        <v>190.8</v>
      </c>
      <c r="V371" t="s">
        <v>48</v>
      </c>
      <c r="W371">
        <v>182.5</v>
      </c>
      <c r="X371">
        <v>179.8</v>
      </c>
      <c r="Y371">
        <v>187.8</v>
      </c>
      <c r="Z371">
        <v>169.7</v>
      </c>
      <c r="AA371">
        <v>173.8</v>
      </c>
      <c r="AB371">
        <v>180.3</v>
      </c>
      <c r="AC371">
        <v>184.9</v>
      </c>
      <c r="AD371">
        <v>179.5</v>
      </c>
      <c r="AE371">
        <v>179.8</v>
      </c>
    </row>
    <row r="372" spans="1:31" x14ac:dyDescent="0.25">
      <c r="A372" t="s">
        <v>11</v>
      </c>
      <c r="B372">
        <v>2023</v>
      </c>
      <c r="C372" t="s">
        <v>14</v>
      </c>
      <c r="D372" t="str">
        <f t="shared" si="5"/>
        <v>2023MayUrban</v>
      </c>
      <c r="E372">
        <v>174.7</v>
      </c>
      <c r="F372">
        <v>219.4</v>
      </c>
      <c r="G372">
        <v>176.7</v>
      </c>
      <c r="H372">
        <v>179.4</v>
      </c>
      <c r="I372">
        <v>164.4</v>
      </c>
      <c r="J372">
        <v>175.8</v>
      </c>
      <c r="K372">
        <v>185</v>
      </c>
      <c r="L372">
        <v>176.9</v>
      </c>
      <c r="M372">
        <v>124.2</v>
      </c>
      <c r="N372">
        <v>211.9</v>
      </c>
      <c r="O372">
        <v>165.9</v>
      </c>
      <c r="P372">
        <v>197.7</v>
      </c>
      <c r="Q372">
        <v>183.1</v>
      </c>
      <c r="R372">
        <v>204.2</v>
      </c>
      <c r="S372">
        <v>181.3</v>
      </c>
      <c r="T372">
        <v>168.1</v>
      </c>
      <c r="U372">
        <v>179.3</v>
      </c>
      <c r="V372">
        <v>175.6</v>
      </c>
      <c r="W372">
        <v>183.4</v>
      </c>
      <c r="X372">
        <v>170.1</v>
      </c>
      <c r="Y372">
        <v>182.2</v>
      </c>
      <c r="Z372">
        <v>160.4</v>
      </c>
      <c r="AA372">
        <v>169.2</v>
      </c>
      <c r="AB372">
        <v>174.8</v>
      </c>
      <c r="AC372">
        <v>185.6</v>
      </c>
      <c r="AD372">
        <v>171.6</v>
      </c>
      <c r="AE372">
        <v>178.2</v>
      </c>
    </row>
    <row r="373" spans="1:31" x14ac:dyDescent="0.25">
      <c r="A373" t="s">
        <v>12</v>
      </c>
      <c r="B373">
        <v>2023</v>
      </c>
      <c r="C373" t="s">
        <v>14</v>
      </c>
      <c r="D373" t="str">
        <f t="shared" si="5"/>
        <v>2023MayRural+Urban</v>
      </c>
      <c r="E373">
        <v>173.7</v>
      </c>
      <c r="F373">
        <v>214.3</v>
      </c>
      <c r="G373">
        <v>173.2</v>
      </c>
      <c r="H373">
        <v>179.5</v>
      </c>
      <c r="I373">
        <v>170</v>
      </c>
      <c r="J373">
        <v>172.2</v>
      </c>
      <c r="K373">
        <v>161</v>
      </c>
      <c r="L373">
        <v>175.6</v>
      </c>
      <c r="M373">
        <v>122.7</v>
      </c>
      <c r="N373">
        <v>218</v>
      </c>
      <c r="O373">
        <v>173.4</v>
      </c>
      <c r="P373">
        <v>194.2</v>
      </c>
      <c r="Q373">
        <v>179.1</v>
      </c>
      <c r="R373">
        <v>201</v>
      </c>
      <c r="S373">
        <v>187.3</v>
      </c>
      <c r="T373">
        <v>179.7</v>
      </c>
      <c r="U373">
        <v>186.2</v>
      </c>
      <c r="V373">
        <v>175.6</v>
      </c>
      <c r="W373">
        <v>182.8</v>
      </c>
      <c r="X373">
        <v>175.2</v>
      </c>
      <c r="Y373">
        <v>185.7</v>
      </c>
      <c r="Z373">
        <v>164.8</v>
      </c>
      <c r="AA373">
        <v>171.2</v>
      </c>
      <c r="AB373">
        <v>177.1</v>
      </c>
      <c r="AC373">
        <v>185.2</v>
      </c>
      <c r="AD373">
        <v>175.7</v>
      </c>
      <c r="AE373">
        <v>179.1</v>
      </c>
    </row>
  </sheetData>
  <autoFilter ref="A1:AE373" xr:uid="{A2FDE96F-664C-46F8-A420-3FEC356B99F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3A4E-0C5C-4F77-9CD9-86EC492401B5}">
  <dimension ref="B1:X44"/>
  <sheetViews>
    <sheetView zoomScale="99" workbookViewId="0">
      <selection activeCell="S2" sqref="S2"/>
    </sheetView>
  </sheetViews>
  <sheetFormatPr defaultRowHeight="15" x14ac:dyDescent="0.25"/>
  <cols>
    <col min="2" max="2" width="27.140625" customWidth="1"/>
    <col min="3" max="3" width="9.140625" style="1" customWidth="1"/>
    <col min="4" max="4" width="11.5703125" style="1" customWidth="1"/>
    <col min="5" max="5" width="11.85546875" style="1" bestFit="1" customWidth="1"/>
    <col min="9" max="9" width="33.28515625" hidden="1" customWidth="1"/>
    <col min="10" max="11" width="0" hidden="1" customWidth="1"/>
    <col min="12" max="12" width="11.85546875" hidden="1" customWidth="1"/>
    <col min="13" max="13" width="13.85546875" hidden="1" customWidth="1"/>
    <col min="15" max="15" width="19.5703125" bestFit="1" customWidth="1"/>
    <col min="16" max="18" width="7" bestFit="1" customWidth="1"/>
  </cols>
  <sheetData>
    <row r="1" spans="9:21" x14ac:dyDescent="0.25">
      <c r="I1" s="9" t="s">
        <v>56</v>
      </c>
      <c r="J1" s="10" t="s">
        <v>9</v>
      </c>
      <c r="K1" s="10" t="s">
        <v>11</v>
      </c>
      <c r="L1" s="10" t="s">
        <v>12</v>
      </c>
      <c r="M1" s="10" t="s">
        <v>49</v>
      </c>
      <c r="O1" s="51" t="s">
        <v>53</v>
      </c>
      <c r="P1" s="51" t="s">
        <v>9</v>
      </c>
      <c r="Q1" s="51" t="s">
        <v>11</v>
      </c>
      <c r="R1" s="51" t="s">
        <v>55</v>
      </c>
      <c r="S1" s="51" t="s">
        <v>57</v>
      </c>
      <c r="T1" s="51" t="s">
        <v>58</v>
      </c>
      <c r="U1" s="51" t="s">
        <v>59</v>
      </c>
    </row>
    <row r="2" spans="9:21" x14ac:dyDescent="0.25">
      <c r="I2" s="4" t="s">
        <v>27</v>
      </c>
      <c r="J2" s="6">
        <v>173.2</v>
      </c>
      <c r="K2" s="6">
        <v>174.7</v>
      </c>
      <c r="L2" s="6">
        <v>173.7</v>
      </c>
      <c r="M2" s="4" t="s">
        <v>50</v>
      </c>
      <c r="O2" s="4" t="s">
        <v>50</v>
      </c>
      <c r="P2" s="4">
        <f t="shared" ref="P2:R8" si="0">SUMIFS(J:J,$M:$M,$O2)</f>
        <v>2290.7000000000007</v>
      </c>
      <c r="Q2" s="4">
        <f t="shared" si="0"/>
        <v>2335.1</v>
      </c>
      <c r="R2" s="4">
        <f t="shared" si="0"/>
        <v>2306.9</v>
      </c>
      <c r="S2" s="5">
        <f t="shared" ref="S2:S8" si="1">P2/$P$9</f>
        <v>0.50918022583800127</v>
      </c>
      <c r="T2" s="5">
        <f t="shared" ref="T2:T8" si="2">Q2/$Q$9</f>
        <v>0.50315671529229233</v>
      </c>
      <c r="U2" s="5">
        <f t="shared" ref="U2:U8" si="3">R2/$R$9</f>
        <v>0.49563853557923682</v>
      </c>
    </row>
    <row r="3" spans="9:21" x14ac:dyDescent="0.25">
      <c r="I3" s="4" t="s">
        <v>28</v>
      </c>
      <c r="J3" s="6">
        <v>211.5</v>
      </c>
      <c r="K3" s="6">
        <v>219.4</v>
      </c>
      <c r="L3" s="6">
        <v>214.3</v>
      </c>
      <c r="M3" s="4" t="s">
        <v>50</v>
      </c>
      <c r="O3" s="4" t="s">
        <v>51</v>
      </c>
      <c r="P3" s="4">
        <f t="shared" si="0"/>
        <v>558.6</v>
      </c>
      <c r="Q3" s="4">
        <f t="shared" si="0"/>
        <v>559</v>
      </c>
      <c r="R3" s="4">
        <f t="shared" si="0"/>
        <v>557.4</v>
      </c>
      <c r="S3" s="5">
        <f t="shared" si="1"/>
        <v>0.12416644438516936</v>
      </c>
      <c r="T3" s="5">
        <f t="shared" si="2"/>
        <v>0.12045077463423041</v>
      </c>
      <c r="U3" s="5">
        <f t="shared" si="3"/>
        <v>0.11975764867652113</v>
      </c>
    </row>
    <row r="4" spans="9:21" x14ac:dyDescent="0.25">
      <c r="I4" s="4" t="s">
        <v>29</v>
      </c>
      <c r="J4" s="6">
        <v>171</v>
      </c>
      <c r="K4" s="6">
        <v>176.7</v>
      </c>
      <c r="L4" s="6">
        <v>173.2</v>
      </c>
      <c r="M4" s="4" t="s">
        <v>50</v>
      </c>
      <c r="O4" s="4" t="s">
        <v>39</v>
      </c>
      <c r="P4" s="4">
        <f t="shared" si="0"/>
        <v>569.90000000000009</v>
      </c>
      <c r="Q4" s="4">
        <f t="shared" si="0"/>
        <v>528.70000000000005</v>
      </c>
      <c r="R4" s="4">
        <f t="shared" si="0"/>
        <v>553.20000000000005</v>
      </c>
      <c r="S4" s="5">
        <f t="shared" si="1"/>
        <v>0.12667822530452563</v>
      </c>
      <c r="T4" s="5">
        <f t="shared" si="2"/>
        <v>0.11392186860307267</v>
      </c>
      <c r="U4" s="5">
        <f t="shared" si="3"/>
        <v>0.11885527672739772</v>
      </c>
    </row>
    <row r="5" spans="9:21" x14ac:dyDescent="0.25">
      <c r="I5" s="4" t="s">
        <v>30</v>
      </c>
      <c r="J5" s="6">
        <v>179.6</v>
      </c>
      <c r="K5" s="6">
        <v>179.4</v>
      </c>
      <c r="L5" s="6">
        <v>179.5</v>
      </c>
      <c r="M5" s="4" t="s">
        <v>50</v>
      </c>
      <c r="O5" s="4" t="s">
        <v>41</v>
      </c>
      <c r="P5" s="4">
        <f t="shared" si="0"/>
        <v>179.8</v>
      </c>
      <c r="Q5" s="4">
        <f t="shared" si="0"/>
        <v>345.7</v>
      </c>
      <c r="R5" s="4">
        <f t="shared" si="0"/>
        <v>350.79999999999995</v>
      </c>
      <c r="S5" s="5">
        <f t="shared" si="1"/>
        <v>3.9966213212412192E-2</v>
      </c>
      <c r="T5" s="5">
        <f t="shared" si="2"/>
        <v>7.4489861880238734E-2</v>
      </c>
      <c r="U5" s="5">
        <f t="shared" si="3"/>
        <v>7.5369542798212424E-2</v>
      </c>
    </row>
    <row r="6" spans="9:21" x14ac:dyDescent="0.25">
      <c r="I6" s="4" t="s">
        <v>31</v>
      </c>
      <c r="J6" s="6">
        <v>173.3</v>
      </c>
      <c r="K6" s="6">
        <v>164.4</v>
      </c>
      <c r="L6" s="6">
        <v>170</v>
      </c>
      <c r="M6" s="4" t="s">
        <v>50</v>
      </c>
      <c r="O6" s="4" t="s">
        <v>54</v>
      </c>
      <c r="P6" s="4">
        <f t="shared" si="0"/>
        <v>182.5</v>
      </c>
      <c r="Q6" s="4">
        <f t="shared" si="0"/>
        <v>183.4</v>
      </c>
      <c r="R6" s="4">
        <f t="shared" si="0"/>
        <v>182.8</v>
      </c>
      <c r="S6" s="5">
        <f t="shared" si="1"/>
        <v>4.0566373255090236E-2</v>
      </c>
      <c r="T6" s="5">
        <f t="shared" si="2"/>
        <v>3.9518196901463076E-2</v>
      </c>
      <c r="U6" s="5">
        <f t="shared" si="3"/>
        <v>3.9274664833276039E-2</v>
      </c>
    </row>
    <row r="7" spans="9:21" x14ac:dyDescent="0.25">
      <c r="I7" s="4" t="s">
        <v>32</v>
      </c>
      <c r="J7" s="6">
        <v>169</v>
      </c>
      <c r="K7" s="6">
        <v>175.8</v>
      </c>
      <c r="L7" s="6">
        <v>172.2</v>
      </c>
      <c r="M7" s="4" t="s">
        <v>50</v>
      </c>
      <c r="O7" s="4" t="s">
        <v>52</v>
      </c>
      <c r="P7" s="4">
        <f t="shared" si="0"/>
        <v>537.79999999999995</v>
      </c>
      <c r="Q7" s="4">
        <f t="shared" si="0"/>
        <v>517.40000000000009</v>
      </c>
      <c r="R7" s="4">
        <f t="shared" si="0"/>
        <v>527.6</v>
      </c>
      <c r="S7" s="5">
        <f t="shared" si="1"/>
        <v>0.1195429892415755</v>
      </c>
      <c r="T7" s="5">
        <f t="shared" si="2"/>
        <v>0.11148699605679933</v>
      </c>
      <c r="U7" s="5">
        <f t="shared" si="3"/>
        <v>0.11335510484702646</v>
      </c>
    </row>
    <row r="8" spans="9:21" x14ac:dyDescent="0.25">
      <c r="I8" s="4" t="s">
        <v>33</v>
      </c>
      <c r="J8" s="6">
        <v>148.69999999999999</v>
      </c>
      <c r="K8" s="6">
        <v>185</v>
      </c>
      <c r="L8" s="6">
        <v>161</v>
      </c>
      <c r="M8" s="4" t="s">
        <v>50</v>
      </c>
      <c r="O8" s="4" t="s">
        <v>8</v>
      </c>
      <c r="P8" s="4">
        <f t="shared" si="0"/>
        <v>179.5</v>
      </c>
      <c r="Q8" s="4">
        <f t="shared" si="0"/>
        <v>171.6</v>
      </c>
      <c r="R8" s="4">
        <f t="shared" si="0"/>
        <v>175.7</v>
      </c>
      <c r="S8" s="5">
        <f t="shared" si="1"/>
        <v>3.9899528763225736E-2</v>
      </c>
      <c r="T8" s="5">
        <f t="shared" si="2"/>
        <v>3.6975586631903291E-2</v>
      </c>
      <c r="U8" s="5">
        <f t="shared" si="3"/>
        <v>3.7749226538329315E-2</v>
      </c>
    </row>
    <row r="9" spans="9:21" x14ac:dyDescent="0.25">
      <c r="I9" s="4" t="s">
        <v>34</v>
      </c>
      <c r="J9" s="6">
        <v>174.9</v>
      </c>
      <c r="K9" s="6">
        <v>176.9</v>
      </c>
      <c r="L9" s="6">
        <v>175.6</v>
      </c>
      <c r="M9" s="4" t="s">
        <v>50</v>
      </c>
      <c r="O9" s="27" t="s">
        <v>60</v>
      </c>
      <c r="P9" s="27">
        <f>SUM(P2:P8)</f>
        <v>4498.8000000000011</v>
      </c>
      <c r="Q9" s="27">
        <f t="shared" ref="Q9:R9" si="4">SUM(Q2:Q8)</f>
        <v>4640.9000000000005</v>
      </c>
      <c r="R9" s="27">
        <f t="shared" si="4"/>
        <v>4654.4000000000005</v>
      </c>
      <c r="S9" s="52">
        <f>SUM(S2:S8)</f>
        <v>1</v>
      </c>
      <c r="T9" s="52">
        <f t="shared" ref="T9:U9" si="5">SUM(T2:T8)</f>
        <v>0.99999999999999978</v>
      </c>
      <c r="U9" s="52">
        <f t="shared" si="5"/>
        <v>0.99999999999999989</v>
      </c>
    </row>
    <row r="10" spans="9:21" x14ac:dyDescent="0.25">
      <c r="I10" s="4" t="s">
        <v>35</v>
      </c>
      <c r="J10" s="6">
        <v>121.9</v>
      </c>
      <c r="K10" s="6">
        <v>124.2</v>
      </c>
      <c r="L10" s="6">
        <v>122.7</v>
      </c>
      <c r="M10" s="4" t="s">
        <v>50</v>
      </c>
    </row>
    <row r="11" spans="9:21" x14ac:dyDescent="0.25">
      <c r="I11" s="4" t="s">
        <v>36</v>
      </c>
      <c r="J11" s="6">
        <v>221</v>
      </c>
      <c r="K11" s="6">
        <v>211.9</v>
      </c>
      <c r="L11" s="6">
        <v>218</v>
      </c>
      <c r="M11" s="4" t="s">
        <v>50</v>
      </c>
    </row>
    <row r="12" spans="9:21" x14ac:dyDescent="0.25">
      <c r="I12" s="4" t="s">
        <v>37</v>
      </c>
      <c r="J12" s="6">
        <v>178.7</v>
      </c>
      <c r="K12" s="6">
        <v>165.9</v>
      </c>
      <c r="L12" s="6">
        <v>173.4</v>
      </c>
      <c r="M12" s="4" t="s">
        <v>50</v>
      </c>
    </row>
    <row r="13" spans="9:21" x14ac:dyDescent="0.25">
      <c r="I13" s="4" t="s">
        <v>38</v>
      </c>
      <c r="J13" s="6">
        <v>191.1</v>
      </c>
      <c r="K13" s="6">
        <v>197.7</v>
      </c>
      <c r="L13" s="6">
        <v>194.2</v>
      </c>
      <c r="M13" s="4" t="s">
        <v>50</v>
      </c>
    </row>
    <row r="14" spans="9:21" x14ac:dyDescent="0.25">
      <c r="I14" s="4" t="s">
        <v>3</v>
      </c>
      <c r="J14" s="6">
        <v>176.8</v>
      </c>
      <c r="K14" s="6">
        <v>183.1</v>
      </c>
      <c r="L14" s="6">
        <v>179.1</v>
      </c>
      <c r="M14" s="4" t="s">
        <v>50</v>
      </c>
    </row>
    <row r="15" spans="9:21" x14ac:dyDescent="0.25">
      <c r="I15" s="4" t="s">
        <v>4</v>
      </c>
      <c r="J15" s="6">
        <v>199.9</v>
      </c>
      <c r="K15" s="6">
        <v>204.2</v>
      </c>
      <c r="L15" s="6">
        <v>201</v>
      </c>
      <c r="M15" s="4" t="s">
        <v>51</v>
      </c>
    </row>
    <row r="16" spans="9:21" x14ac:dyDescent="0.25">
      <c r="I16" s="4" t="s">
        <v>39</v>
      </c>
      <c r="J16" s="6">
        <v>191.2</v>
      </c>
      <c r="K16" s="6">
        <v>181.3</v>
      </c>
      <c r="L16" s="6">
        <v>187.3</v>
      </c>
      <c r="M16" s="4" t="s">
        <v>39</v>
      </c>
    </row>
    <row r="17" spans="2:24" x14ac:dyDescent="0.25">
      <c r="F17" s="1"/>
      <c r="I17" s="4" t="s">
        <v>40</v>
      </c>
      <c r="J17" s="6">
        <v>187.9</v>
      </c>
      <c r="K17" s="6">
        <v>168.1</v>
      </c>
      <c r="L17" s="6">
        <v>179.7</v>
      </c>
      <c r="M17" s="4" t="s">
        <v>39</v>
      </c>
    </row>
    <row r="18" spans="2:24" x14ac:dyDescent="0.25">
      <c r="I18" s="4" t="s">
        <v>5</v>
      </c>
      <c r="J18" s="6">
        <v>190.8</v>
      </c>
      <c r="K18" s="6">
        <v>179.3</v>
      </c>
      <c r="L18" s="6">
        <v>186.2</v>
      </c>
      <c r="M18" s="4" t="s">
        <v>39</v>
      </c>
    </row>
    <row r="19" spans="2:24" x14ac:dyDescent="0.25">
      <c r="I19" s="4" t="s">
        <v>41</v>
      </c>
      <c r="J19" s="6" t="s">
        <v>48</v>
      </c>
      <c r="K19" s="6">
        <v>175.6</v>
      </c>
      <c r="L19" s="6">
        <v>175.6</v>
      </c>
      <c r="M19" s="4" t="s">
        <v>41</v>
      </c>
    </row>
    <row r="20" spans="2:24" x14ac:dyDescent="0.25">
      <c r="I20" s="4" t="s">
        <v>7</v>
      </c>
      <c r="J20" s="6">
        <v>182.5</v>
      </c>
      <c r="K20" s="6">
        <v>183.4</v>
      </c>
      <c r="L20" s="6">
        <v>182.8</v>
      </c>
      <c r="M20" s="4" t="s">
        <v>7</v>
      </c>
    </row>
    <row r="21" spans="2:24" x14ac:dyDescent="0.25">
      <c r="I21" s="4" t="s">
        <v>6</v>
      </c>
      <c r="J21" s="6">
        <v>179.8</v>
      </c>
      <c r="K21" s="6">
        <v>170.1</v>
      </c>
      <c r="L21" s="6">
        <v>175.2</v>
      </c>
      <c r="M21" s="4" t="s">
        <v>41</v>
      </c>
    </row>
    <row r="22" spans="2:24" x14ac:dyDescent="0.25">
      <c r="I22" s="4" t="s">
        <v>42</v>
      </c>
      <c r="J22" s="6">
        <v>187.8</v>
      </c>
      <c r="K22" s="6">
        <v>182.2</v>
      </c>
      <c r="L22" s="6">
        <v>185.7</v>
      </c>
      <c r="M22" s="4" t="s">
        <v>52</v>
      </c>
    </row>
    <row r="23" spans="2:24" x14ac:dyDescent="0.25">
      <c r="I23" s="4" t="s">
        <v>43</v>
      </c>
      <c r="J23" s="6">
        <v>169.7</v>
      </c>
      <c r="K23" s="6">
        <v>160.4</v>
      </c>
      <c r="L23" s="6">
        <v>164.8</v>
      </c>
      <c r="M23" s="4" t="s">
        <v>52</v>
      </c>
    </row>
    <row r="24" spans="2:24" x14ac:dyDescent="0.25">
      <c r="I24" s="4" t="s">
        <v>44</v>
      </c>
      <c r="J24" s="6">
        <v>173.8</v>
      </c>
      <c r="K24" s="6">
        <v>169.2</v>
      </c>
      <c r="L24" s="6">
        <v>171.2</v>
      </c>
      <c r="M24" s="4" t="s">
        <v>51</v>
      </c>
    </row>
    <row r="25" spans="2:24" x14ac:dyDescent="0.25">
      <c r="I25" s="4" t="s">
        <v>45</v>
      </c>
      <c r="J25" s="6">
        <v>180.3</v>
      </c>
      <c r="K25" s="6">
        <v>174.8</v>
      </c>
      <c r="L25" s="6">
        <v>177.1</v>
      </c>
      <c r="M25" s="4" t="s">
        <v>52</v>
      </c>
    </row>
    <row r="26" spans="2:24" x14ac:dyDescent="0.25">
      <c r="I26" s="4" t="s">
        <v>46</v>
      </c>
      <c r="J26" s="6">
        <v>184.9</v>
      </c>
      <c r="K26" s="6">
        <v>185.6</v>
      </c>
      <c r="L26" s="6">
        <v>185.2</v>
      </c>
      <c r="M26" s="4" t="s">
        <v>51</v>
      </c>
    </row>
    <row r="27" spans="2:24" x14ac:dyDescent="0.25">
      <c r="I27" s="4" t="s">
        <v>8</v>
      </c>
      <c r="J27" s="6">
        <v>179.5</v>
      </c>
      <c r="K27" s="6">
        <v>171.6</v>
      </c>
      <c r="L27" s="6">
        <v>175.7</v>
      </c>
      <c r="M27" s="4" t="s">
        <v>8</v>
      </c>
    </row>
    <row r="28" spans="2:24" x14ac:dyDescent="0.25">
      <c r="I28" s="7" t="s">
        <v>47</v>
      </c>
      <c r="J28" s="8">
        <v>179.8</v>
      </c>
      <c r="K28" s="8">
        <v>178.2</v>
      </c>
      <c r="L28" s="8">
        <v>179.1</v>
      </c>
      <c r="M28" s="7"/>
    </row>
    <row r="29" spans="2:24" x14ac:dyDescent="0.25">
      <c r="J29" s="1"/>
      <c r="K29" s="1"/>
      <c r="L29" s="1"/>
    </row>
    <row r="32" spans="2:24" ht="26.25" x14ac:dyDescent="0.4">
      <c r="B32" s="63" t="s">
        <v>61</v>
      </c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</row>
    <row r="44" spans="2:6" x14ac:dyDescent="0.25">
      <c r="B44" s="2"/>
      <c r="C44" s="3"/>
      <c r="D44" s="3"/>
      <c r="E44" s="3"/>
      <c r="F44" s="2"/>
    </row>
  </sheetData>
  <mergeCells count="1">
    <mergeCell ref="B32:X3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23492-09AC-42E2-9729-89E926586E98}">
  <dimension ref="A2:AQ35"/>
  <sheetViews>
    <sheetView topLeftCell="A2" zoomScale="102" workbookViewId="0">
      <selection activeCell="AJ3" sqref="AJ3"/>
    </sheetView>
  </sheetViews>
  <sheetFormatPr defaultRowHeight="15" x14ac:dyDescent="0.25"/>
  <cols>
    <col min="11" max="13" width="9.140625" style="1"/>
    <col min="14" max="14" width="8.5703125" style="1" bestFit="1" customWidth="1"/>
    <col min="15" max="15" width="16.140625" style="1" bestFit="1" customWidth="1"/>
    <col min="26" max="26" width="33.28515625" bestFit="1" customWidth="1"/>
    <col min="27" max="27" width="14.28515625" customWidth="1"/>
    <col min="29" max="29" width="17.5703125" bestFit="1" customWidth="1"/>
  </cols>
  <sheetData>
    <row r="2" spans="33:43" x14ac:dyDescent="0.25">
      <c r="AG2" s="6" t="s">
        <v>1</v>
      </c>
      <c r="AH2" s="6" t="s">
        <v>24</v>
      </c>
      <c r="AI2" s="6" t="s">
        <v>10</v>
      </c>
      <c r="AJ2" s="6" t="s">
        <v>62</v>
      </c>
      <c r="AK2" s="6"/>
      <c r="AM2" s="4"/>
      <c r="AN2" s="4" t="s">
        <v>23</v>
      </c>
      <c r="AO2" s="4" t="s">
        <v>24</v>
      </c>
      <c r="AP2" s="4" t="s">
        <v>69</v>
      </c>
      <c r="AQ2" s="18" t="s">
        <v>70</v>
      </c>
    </row>
    <row r="3" spans="33:43" x14ac:dyDescent="0.25">
      <c r="AG3" s="6">
        <v>2017</v>
      </c>
      <c r="AH3" s="6">
        <f>VLOOKUP(AG3&amp;$AH$2&amp;"Rural+Urban",'Main Data'!$D$1:$AE$373,28,0)</f>
        <v>137.19999999999999</v>
      </c>
      <c r="AI3" s="6">
        <f>VLOOKUP(AG3&amp;$AI$2&amp;"Rural+Urban",'Main Data'!$D$1:$AE$373,28,0)</f>
        <v>130.30000000000001</v>
      </c>
      <c r="AJ3" s="19">
        <f>(AH3-AI3)/AI3*100</f>
        <v>5.2954719877206271</v>
      </c>
      <c r="AK3" s="15"/>
      <c r="AM3" s="4" t="s">
        <v>27</v>
      </c>
      <c r="AN3" s="4">
        <f>INDEX('Main Data'!$A$1:$AE$373,MATCH(2019&amp;'Question 2'!AN$2&amp;"Rural+Urban",'Main Data'!$D$1:$D$373,0),MATCH('Question 2'!AM3,'Main Data'!$A$1:$AE$1,0))</f>
        <v>142.5</v>
      </c>
      <c r="AO3" s="4">
        <f>INDEX('Main Data'!$A$1:$AE$373,MATCH(2019&amp;'Question 2'!AO$2&amp;"Rural+Urban",'Main Data'!$D$1:$D$373,0),MATCH('Question 2'!AM3,'Main Data'!$A$1:$AE$1,0))</f>
        <v>143.5</v>
      </c>
      <c r="AP3" s="6">
        <f>AO3-AN3</f>
        <v>1</v>
      </c>
      <c r="AQ3" s="17">
        <f t="shared" ref="AQ3:AQ28" si="0">AP3/AN3*100</f>
        <v>0.70175438596491224</v>
      </c>
    </row>
    <row r="4" spans="33:43" x14ac:dyDescent="0.25">
      <c r="AG4" s="6">
        <v>2018</v>
      </c>
      <c r="AH4" s="6">
        <f>VLOOKUP(AG4&amp;$AH$2&amp;"Rural+Urban",'Main Data'!$D$1:$AE$373,28,0)</f>
        <v>140.1</v>
      </c>
      <c r="AI4" s="6">
        <f>VLOOKUP(AG4&amp;$AI$2&amp;"Rural+Urban",'Main Data'!$D$1:$AE$373,28,0)</f>
        <v>136.9</v>
      </c>
      <c r="AJ4" s="19">
        <f t="shared" ref="AJ4:AJ8" si="1">(AH4-AI4)/AI4*100</f>
        <v>2.3374726077428698</v>
      </c>
      <c r="AK4" s="15"/>
      <c r="AM4" s="4" t="s">
        <v>28</v>
      </c>
      <c r="AN4" s="4">
        <f>INDEX('Main Data'!$A$1:$AE$373,MATCH(2019&amp;'Question 2'!AN$2&amp;"Rural+Urban",'Main Data'!$D$1:$D$373,0),MATCH('Question 2'!AM4,'Main Data'!$A$1:$AE$1,0))</f>
        <v>163.19999999999999</v>
      </c>
      <c r="AO4" s="4">
        <f>INDEX('Main Data'!$A$1:$AE$373,MATCH(2019&amp;'Question 2'!AO$2&amp;"Rural+Urban",'Main Data'!$D$1:$D$373,0),MATCH('Question 2'!AM4,'Main Data'!$A$1:$AE$1,0))</f>
        <v>165</v>
      </c>
      <c r="AP4" s="6">
        <f t="shared" ref="AP4:AP28" si="2">AO4-AN4</f>
        <v>1.8000000000000114</v>
      </c>
      <c r="AQ4" s="17">
        <f t="shared" si="0"/>
        <v>1.1029411764705952</v>
      </c>
    </row>
    <row r="5" spans="33:43" x14ac:dyDescent="0.25">
      <c r="AG5" s="6">
        <v>2019</v>
      </c>
      <c r="AH5" s="6">
        <f>VLOOKUP(AG5&amp;$AH$2&amp;"Rural+Urban",'Main Data'!$D$1:$AE$373,28,0)</f>
        <v>150.4</v>
      </c>
      <c r="AI5" s="6">
        <f>VLOOKUP(AG5&amp;$AI$2&amp;"Rural+Urban",'Main Data'!$D$1:$AE$373,28,0)</f>
        <v>139.6</v>
      </c>
      <c r="AJ5" s="19">
        <f t="shared" si="1"/>
        <v>7.7363896848137621</v>
      </c>
      <c r="AK5" s="15"/>
      <c r="AM5" s="4" t="s">
        <v>29</v>
      </c>
      <c r="AN5" s="4">
        <f>INDEX('Main Data'!$A$1:$AE$373,MATCH(2019&amp;'Question 2'!AN$2&amp;"Rural+Urban",'Main Data'!$D$1:$D$373,0),MATCH('Question 2'!AM5,'Main Data'!$A$1:$AE$1,0))</f>
        <v>145.6</v>
      </c>
      <c r="AO5" s="4">
        <f>INDEX('Main Data'!$A$1:$AE$373,MATCH(2019&amp;'Question 2'!AO$2&amp;"Rural+Urban",'Main Data'!$D$1:$D$373,0),MATCH('Question 2'!AM5,'Main Data'!$A$1:$AE$1,0))</f>
        <v>151.1</v>
      </c>
      <c r="AP5" s="6">
        <f t="shared" si="2"/>
        <v>5.5</v>
      </c>
      <c r="AQ5" s="17">
        <f t="shared" si="0"/>
        <v>3.7774725274725278</v>
      </c>
    </row>
    <row r="6" spans="33:43" x14ac:dyDescent="0.25">
      <c r="AG6" s="6">
        <v>2020</v>
      </c>
      <c r="AH6" s="6">
        <f>VLOOKUP(AG6&amp;$AH$2&amp;"Rural+Urban",'Main Data'!$D$1:$AE$373,28,0)</f>
        <v>158.9</v>
      </c>
      <c r="AI6" s="6">
        <f>VLOOKUP(AG6&amp;$AI$2&amp;"Rural+Urban",'Main Data'!$D$1:$AE$373,28,0)</f>
        <v>150.19999999999999</v>
      </c>
      <c r="AJ6" s="19">
        <f t="shared" si="1"/>
        <v>5.7922769640479483</v>
      </c>
      <c r="AK6" s="15"/>
      <c r="AM6" s="4" t="s">
        <v>30</v>
      </c>
      <c r="AN6" s="4">
        <f>INDEX('Main Data'!$A$1:$AE$373,MATCH(2019&amp;'Question 2'!AN$2&amp;"Rural+Urban",'Main Data'!$D$1:$D$373,0),MATCH('Question 2'!AM6,'Main Data'!$A$1:$AE$1,0))</f>
        <v>146.69999999999999</v>
      </c>
      <c r="AO6" s="4">
        <f>INDEX('Main Data'!$A$1:$AE$373,MATCH(2019&amp;'Question 2'!AO$2&amp;"Rural+Urban",'Main Data'!$D$1:$D$373,0),MATCH('Question 2'!AM6,'Main Data'!$A$1:$AE$1,0))</f>
        <v>148.30000000000001</v>
      </c>
      <c r="AP6" s="6">
        <f t="shared" si="2"/>
        <v>1.6000000000000227</v>
      </c>
      <c r="AQ6" s="17">
        <f t="shared" si="0"/>
        <v>1.0906612133606155</v>
      </c>
    </row>
    <row r="7" spans="33:43" x14ac:dyDescent="0.25">
      <c r="AG7" s="6">
        <v>2021</v>
      </c>
      <c r="AH7" s="6">
        <f>VLOOKUP(AG7&amp;$AH$2&amp;"Rural+Urban",'Main Data'!$D$1:$AE$373,28,0)</f>
        <v>166.2</v>
      </c>
      <c r="AI7" s="6">
        <f>VLOOKUP(AG7&amp;$AI$2&amp;"Rural+Urban",'Main Data'!$D$1:$AE$373,28,0)</f>
        <v>157.30000000000001</v>
      </c>
      <c r="AJ7" s="19">
        <f t="shared" si="1"/>
        <v>5.6579783852510976</v>
      </c>
      <c r="AK7" s="15"/>
      <c r="AM7" s="4" t="s">
        <v>31</v>
      </c>
      <c r="AN7" s="4">
        <f>INDEX('Main Data'!$A$1:$AE$373,MATCH(2019&amp;'Question 2'!AN$2&amp;"Rural+Urban",'Main Data'!$D$1:$D$373,0),MATCH('Question 2'!AM7,'Main Data'!$A$1:$AE$1,0))</f>
        <v>124.3</v>
      </c>
      <c r="AO7" s="4">
        <f>INDEX('Main Data'!$A$1:$AE$373,MATCH(2019&amp;'Question 2'!AO$2&amp;"Rural+Urban",'Main Data'!$D$1:$D$373,0),MATCH('Question 2'!AM7,'Main Data'!$A$1:$AE$1,0))</f>
        <v>125.7</v>
      </c>
      <c r="AP7" s="6">
        <f t="shared" si="2"/>
        <v>1.4000000000000057</v>
      </c>
      <c r="AQ7" s="17">
        <f t="shared" si="0"/>
        <v>1.1263073209975909</v>
      </c>
    </row>
    <row r="8" spans="33:43" x14ac:dyDescent="0.25">
      <c r="AG8" s="6">
        <v>2022</v>
      </c>
      <c r="AH8" s="6">
        <f>VLOOKUP(AG8&amp;$AH$2&amp;"Rural+Urban",'Main Data'!$D$1:$AE$373,28,0)</f>
        <v>175.7</v>
      </c>
      <c r="AI8" s="6">
        <f>VLOOKUP(AG8&amp;$AI$2&amp;"Rural+Urban",'Main Data'!$D$1:$AE$373,28,0)</f>
        <v>165.7</v>
      </c>
      <c r="AJ8" s="19">
        <f t="shared" si="1"/>
        <v>6.0350030175015092</v>
      </c>
      <c r="AK8" s="15"/>
      <c r="AM8" s="4" t="s">
        <v>32</v>
      </c>
      <c r="AN8" s="4">
        <f>INDEX('Main Data'!$A$1:$AE$373,MATCH(2019&amp;'Question 2'!AN$2&amp;"Rural+Urban",'Main Data'!$D$1:$D$373,0),MATCH('Question 2'!AM8,'Main Data'!$A$1:$AE$1,0))</f>
        <v>147.4</v>
      </c>
      <c r="AO8" s="4">
        <f>INDEX('Main Data'!$A$1:$AE$373,MATCH(2019&amp;'Question 2'!AO$2&amp;"Rural+Urban",'Main Data'!$D$1:$D$373,0),MATCH('Question 2'!AM8,'Main Data'!$A$1:$AE$1,0))</f>
        <v>145.69999999999999</v>
      </c>
      <c r="AP8" s="6">
        <f t="shared" si="2"/>
        <v>-1.7000000000000171</v>
      </c>
      <c r="AQ8" s="17">
        <f t="shared" si="0"/>
        <v>-1.1533242876526575</v>
      </c>
    </row>
    <row r="9" spans="33:43" x14ac:dyDescent="0.25">
      <c r="AG9" s="6">
        <v>2023</v>
      </c>
      <c r="AH9" s="6" t="e">
        <f>VLOOKUP(AG9&amp;$AH$2&amp;"Rural+Urban",'Main Data'!$D$1:$AE$373,28,0)</f>
        <v>#N/A</v>
      </c>
      <c r="AI9" s="6">
        <f>VLOOKUP(AG9&amp;$AI$2&amp;"Rural+Urban",'Main Data'!$D$1:$AE$373,28,0)</f>
        <v>176.5</v>
      </c>
      <c r="AJ9" s="11" t="s">
        <v>48</v>
      </c>
      <c r="AK9" s="12"/>
      <c r="AM9" s="4" t="s">
        <v>33</v>
      </c>
      <c r="AN9" s="4">
        <f>INDEX('Main Data'!$A$1:$AE$373,MATCH(2019&amp;'Question 2'!AN$2&amp;"Rural+Urban",'Main Data'!$D$1:$D$373,0),MATCH('Question 2'!AM9,'Main Data'!$A$1:$AE$1,0))</f>
        <v>199.6</v>
      </c>
      <c r="AO9" s="4">
        <f>INDEX('Main Data'!$A$1:$AE$373,MATCH(2019&amp;'Question 2'!AO$2&amp;"Rural+Urban",'Main Data'!$D$1:$D$373,0),MATCH('Question 2'!AM9,'Main Data'!$A$1:$AE$1,0))</f>
        <v>217</v>
      </c>
      <c r="AP9" s="6">
        <f t="shared" si="2"/>
        <v>17.400000000000006</v>
      </c>
      <c r="AQ9" s="17">
        <f t="shared" si="0"/>
        <v>8.7174348697394812</v>
      </c>
    </row>
    <row r="10" spans="33:43" x14ac:dyDescent="0.25">
      <c r="AG10" s="1"/>
      <c r="AH10" s="1"/>
      <c r="AI10" s="1"/>
      <c r="AJ10" s="14">
        <f>SUM(AJ3:AJ8)</f>
        <v>32.854592647077816</v>
      </c>
      <c r="AK10" s="1"/>
      <c r="AM10" s="4" t="s">
        <v>34</v>
      </c>
      <c r="AN10" s="4">
        <f>INDEX('Main Data'!$A$1:$AE$373,MATCH(2019&amp;'Question 2'!AN$2&amp;"Rural+Urban",'Main Data'!$D$1:$D$373,0),MATCH('Question 2'!AM10,'Main Data'!$A$1:$AE$1,0))</f>
        <v>135.69999999999999</v>
      </c>
      <c r="AO10" s="4">
        <f>INDEX('Main Data'!$A$1:$AE$373,MATCH(2019&amp;'Question 2'!AO$2&amp;"Rural+Urban",'Main Data'!$D$1:$D$373,0),MATCH('Question 2'!AM10,'Main Data'!$A$1:$AE$1,0))</f>
        <v>138.30000000000001</v>
      </c>
      <c r="AP10" s="6">
        <f t="shared" si="2"/>
        <v>2.6000000000000227</v>
      </c>
      <c r="AQ10" s="17">
        <f t="shared" si="0"/>
        <v>1.9159911569639076</v>
      </c>
    </row>
    <row r="11" spans="33:43" x14ac:dyDescent="0.25">
      <c r="AM11" s="4" t="s">
        <v>35</v>
      </c>
      <c r="AN11" s="4">
        <f>INDEX('Main Data'!$A$1:$AE$373,MATCH(2019&amp;'Question 2'!AN$2&amp;"Rural+Urban",'Main Data'!$D$1:$D$373,0),MATCH('Question 2'!AM11,'Main Data'!$A$1:$AE$1,0))</f>
        <v>114.2</v>
      </c>
      <c r="AO11" s="4">
        <f>INDEX('Main Data'!$A$1:$AE$373,MATCH(2019&amp;'Question 2'!AO$2&amp;"Rural+Urban",'Main Data'!$D$1:$D$373,0),MATCH('Question 2'!AM11,'Main Data'!$A$1:$AE$1,0))</f>
        <v>114</v>
      </c>
      <c r="AP11" s="6">
        <f t="shared" si="2"/>
        <v>-0.20000000000000284</v>
      </c>
      <c r="AQ11" s="17">
        <f t="shared" si="0"/>
        <v>-0.17513134851138604</v>
      </c>
    </row>
    <row r="12" spans="33:43" x14ac:dyDescent="0.25">
      <c r="AM12" s="4" t="s">
        <v>36</v>
      </c>
      <c r="AN12" s="4">
        <f>INDEX('Main Data'!$A$1:$AE$373,MATCH(2019&amp;'Question 2'!AN$2&amp;"Rural+Urban",'Main Data'!$D$1:$D$373,0),MATCH('Question 2'!AM12,'Main Data'!$A$1:$AE$1,0))</f>
        <v>147</v>
      </c>
      <c r="AO12" s="4">
        <f>INDEX('Main Data'!$A$1:$AE$373,MATCH(2019&amp;'Question 2'!AO$2&amp;"Rural+Urban",'Main Data'!$D$1:$D$373,0),MATCH('Question 2'!AM12,'Main Data'!$A$1:$AE$1,0))</f>
        <v>148.69999999999999</v>
      </c>
      <c r="AP12" s="6">
        <f t="shared" si="2"/>
        <v>1.6999999999999886</v>
      </c>
      <c r="AQ12" s="17">
        <f t="shared" si="0"/>
        <v>1.156462585034006</v>
      </c>
    </row>
    <row r="13" spans="33:43" x14ac:dyDescent="0.25">
      <c r="AG13" s="16" t="s">
        <v>66</v>
      </c>
      <c r="AM13" s="4" t="s">
        <v>37</v>
      </c>
      <c r="AN13" s="4">
        <f>INDEX('Main Data'!$A$1:$AE$373,MATCH(2019&amp;'Question 2'!AN$2&amp;"Rural+Urban",'Main Data'!$D$1:$D$373,0),MATCH('Question 2'!AM13,'Main Data'!$A$1:$AE$1,0))</f>
        <v>135.30000000000001</v>
      </c>
      <c r="AO13" s="4">
        <f>INDEX('Main Data'!$A$1:$AE$373,MATCH(2019&amp;'Question 2'!AO$2&amp;"Rural+Urban",'Main Data'!$D$1:$D$373,0),MATCH('Question 2'!AM13,'Main Data'!$A$1:$AE$1,0))</f>
        <v>135.80000000000001</v>
      </c>
      <c r="AP13" s="6">
        <f t="shared" si="2"/>
        <v>0.5</v>
      </c>
      <c r="AQ13" s="17">
        <f t="shared" si="0"/>
        <v>0.36954915003695488</v>
      </c>
    </row>
    <row r="14" spans="33:43" x14ac:dyDescent="0.25">
      <c r="AG14" s="4" t="s">
        <v>53</v>
      </c>
      <c r="AH14" t="s">
        <v>67</v>
      </c>
      <c r="AI14" t="s">
        <v>65</v>
      </c>
      <c r="AM14" s="4" t="s">
        <v>38</v>
      </c>
      <c r="AN14" s="4">
        <f>INDEX('Main Data'!$A$1:$AE$373,MATCH(2019&amp;'Question 2'!AN$2&amp;"Rural+Urban",'Main Data'!$D$1:$D$373,0),MATCH('Question 2'!AM14,'Main Data'!$A$1:$AE$1,0))</f>
        <v>157.5</v>
      </c>
      <c r="AO14" s="4">
        <f>INDEX('Main Data'!$A$1:$AE$373,MATCH(2019&amp;'Question 2'!AO$2&amp;"Rural+Urban",'Main Data'!$D$1:$D$373,0),MATCH('Question 2'!AM14,'Main Data'!$A$1:$AE$1,0))</f>
        <v>158</v>
      </c>
      <c r="AP14" s="6">
        <f t="shared" si="2"/>
        <v>0.5</v>
      </c>
      <c r="AQ14" s="17">
        <f t="shared" si="0"/>
        <v>0.31746031746031744</v>
      </c>
    </row>
    <row r="15" spans="33:43" x14ac:dyDescent="0.25">
      <c r="AG15" s="4" t="s">
        <v>10</v>
      </c>
      <c r="AH15">
        <f>VLOOKUP("2019"&amp;AG15&amp;"Rural+Urban",'Main Data'!$D$1:$AE$373,28,0)</f>
        <v>139.6</v>
      </c>
      <c r="AM15" s="4" t="s">
        <v>3</v>
      </c>
      <c r="AN15" s="4">
        <f>INDEX('Main Data'!$A$1:$AE$373,MATCH(2019&amp;'Question 2'!AN$2&amp;"Rural+Urban",'Main Data'!$D$1:$D$373,0),MATCH('Question 2'!AM15,'Main Data'!$A$1:$AE$1,0))</f>
        <v>151.9</v>
      </c>
      <c r="AO15" s="4">
        <f>INDEX('Main Data'!$A$1:$AE$373,MATCH(2019&amp;'Question 2'!AO$2&amp;"Rural+Urban",'Main Data'!$D$1:$D$373,0),MATCH('Question 2'!AM15,'Main Data'!$A$1:$AE$1,0))</f>
        <v>155</v>
      </c>
      <c r="AP15" s="6">
        <f t="shared" si="2"/>
        <v>3.0999999999999943</v>
      </c>
      <c r="AQ15" s="17">
        <f t="shared" si="0"/>
        <v>2.0408163265306083</v>
      </c>
    </row>
    <row r="16" spans="33:43" x14ac:dyDescent="0.25">
      <c r="AG16" s="4" t="s">
        <v>13</v>
      </c>
      <c r="AH16">
        <f>VLOOKUP("2019"&amp;AG16&amp;"Rural+Urban",'Main Data'!$D$1:$AE$373,28,0)</f>
        <v>139.9</v>
      </c>
      <c r="AI16" s="20">
        <f>(AH16-AH15)/AH15*100</f>
        <v>0.21489971346705686</v>
      </c>
      <c r="AJ16" s="17"/>
      <c r="AM16" s="4" t="s">
        <v>4</v>
      </c>
      <c r="AN16" s="4">
        <f>INDEX('Main Data'!$A$1:$AE$373,MATCH(2019&amp;'Question 2'!AN$2&amp;"Rural+Urban",'Main Data'!$D$1:$D$373,0),MATCH('Question 2'!AM16,'Main Data'!$A$1:$AE$1,0))</f>
        <v>167.9</v>
      </c>
      <c r="AO16" s="4">
        <f>INDEX('Main Data'!$A$1:$AE$373,MATCH(2019&amp;'Question 2'!AO$2&amp;"Rural+Urban",'Main Data'!$D$1:$D$373,0),MATCH('Question 2'!AM16,'Main Data'!$A$1:$AE$1,0))</f>
        <v>168.5</v>
      </c>
      <c r="AP16" s="6">
        <f t="shared" si="2"/>
        <v>0.59999999999999432</v>
      </c>
      <c r="AQ16" s="17">
        <f t="shared" si="0"/>
        <v>0.3573555687909436</v>
      </c>
    </row>
    <row r="17" spans="30:43" x14ac:dyDescent="0.25">
      <c r="AG17" s="4" t="s">
        <v>15</v>
      </c>
      <c r="AH17">
        <f>VLOOKUP("2019"&amp;AG17&amp;"Rural+Urban",'Main Data'!$D$1:$AE$373,28,0)</f>
        <v>140.4</v>
      </c>
      <c r="AI17" s="20">
        <f t="shared" ref="AI17:AI25" si="3">(AH17-AH16)/AH16*100</f>
        <v>0.35739814152966404</v>
      </c>
      <c r="AJ17" s="17"/>
      <c r="AM17" s="4" t="s">
        <v>39</v>
      </c>
      <c r="AN17" s="4">
        <f>INDEX('Main Data'!$A$1:$AE$373,MATCH(2019&amp;'Question 2'!AN$2&amp;"Rural+Urban",'Main Data'!$D$1:$D$373,0),MATCH('Question 2'!AM17,'Main Data'!$A$1:$AE$1,0))</f>
        <v>149.9</v>
      </c>
      <c r="AO17" s="4">
        <f>INDEX('Main Data'!$A$1:$AE$373,MATCH(2019&amp;'Question 2'!AO$2&amp;"Rural+Urban",'Main Data'!$D$1:$D$373,0),MATCH('Question 2'!AM17,'Main Data'!$A$1:$AE$1,0))</f>
        <v>150.30000000000001</v>
      </c>
      <c r="AP17" s="6">
        <f t="shared" si="2"/>
        <v>0.40000000000000568</v>
      </c>
      <c r="AQ17" s="17">
        <f t="shared" si="0"/>
        <v>0.2668445630420318</v>
      </c>
    </row>
    <row r="18" spans="30:43" x14ac:dyDescent="0.25">
      <c r="AG18" s="4" t="s">
        <v>14</v>
      </c>
      <c r="AH18">
        <f>VLOOKUP("2019"&amp;AG18&amp;"Rural+Urban",'Main Data'!$D$1:$AE$373,28,0)</f>
        <v>142</v>
      </c>
      <c r="AI18" s="20">
        <f t="shared" si="3"/>
        <v>1.1396011396011354</v>
      </c>
      <c r="AJ18" s="17"/>
      <c r="AM18" s="4" t="s">
        <v>40</v>
      </c>
      <c r="AN18" s="4">
        <f>INDEX('Main Data'!$A$1:$AE$373,MATCH(2019&amp;'Question 2'!AN$2&amp;"Rural+Urban",'Main Data'!$D$1:$D$373,0),MATCH('Question 2'!AM18,'Main Data'!$A$1:$AE$1,0))</f>
        <v>141</v>
      </c>
      <c r="AO18" s="4">
        <f>INDEX('Main Data'!$A$1:$AE$373,MATCH(2019&amp;'Question 2'!AO$2&amp;"Rural+Urban",'Main Data'!$D$1:$D$373,0),MATCH('Question 2'!AM18,'Main Data'!$A$1:$AE$1,0))</f>
        <v>141.30000000000001</v>
      </c>
      <c r="AP18" s="6">
        <f t="shared" si="2"/>
        <v>0.30000000000001137</v>
      </c>
      <c r="AQ18" s="17">
        <f t="shared" si="0"/>
        <v>0.21276595744681659</v>
      </c>
    </row>
    <row r="19" spans="30:43" x14ac:dyDescent="0.25">
      <c r="AG19" s="4" t="s">
        <v>17</v>
      </c>
      <c r="AH19">
        <f>VLOOKUP("2019"&amp;AG19&amp;"Rural+Urban",'Main Data'!$D$1:$AE$373,28,0)</f>
        <v>142.9</v>
      </c>
      <c r="AI19" s="20">
        <f t="shared" si="3"/>
        <v>0.63380281690141249</v>
      </c>
      <c r="AJ19" s="17"/>
      <c r="AM19" s="4" t="s">
        <v>5</v>
      </c>
      <c r="AN19" s="4">
        <f>INDEX('Main Data'!$A$1:$AE$373,MATCH(2019&amp;'Question 2'!AN$2&amp;"Rural+Urban",'Main Data'!$D$1:$D$373,0),MATCH('Question 2'!AM19,'Main Data'!$A$1:$AE$1,0))</f>
        <v>148.6</v>
      </c>
      <c r="AO19" s="4">
        <f>INDEX('Main Data'!$A$1:$AE$373,MATCH(2019&amp;'Question 2'!AO$2&amp;"Rural+Urban",'Main Data'!$D$1:$D$373,0),MATCH('Question 2'!AM19,'Main Data'!$A$1:$AE$1,0))</f>
        <v>149</v>
      </c>
      <c r="AP19" s="6">
        <f t="shared" si="2"/>
        <v>0.40000000000000568</v>
      </c>
      <c r="AQ19" s="17">
        <f t="shared" si="0"/>
        <v>0.26917900403768891</v>
      </c>
    </row>
    <row r="20" spans="30:43" x14ac:dyDescent="0.25">
      <c r="AG20" s="4" t="s">
        <v>18</v>
      </c>
      <c r="AH20">
        <f>VLOOKUP("2019"&amp;AG20&amp;"Rural+Urban",'Main Data'!$D$1:$AE$373,28,0)</f>
        <v>144.19999999999999</v>
      </c>
      <c r="AI20" s="20">
        <f t="shared" si="3"/>
        <v>0.9097270818754255</v>
      </c>
      <c r="AJ20" s="17"/>
      <c r="AM20" s="4" t="s">
        <v>41</v>
      </c>
      <c r="AN20" s="4">
        <f>INDEX('Main Data'!$A$1:$AE$373,MATCH(2019&amp;'Question 2'!AN$2&amp;"Rural+Urban",'Main Data'!$D$1:$D$373,0),MATCH('Question 2'!AM20,'Main Data'!$A$1:$AE$1,0))</f>
        <v>153.5</v>
      </c>
      <c r="AO20" s="4">
        <f>INDEX('Main Data'!$A$1:$AE$373,MATCH(2019&amp;'Question 2'!AO$2&amp;"Rural+Urban",'Main Data'!$D$1:$D$373,0),MATCH('Question 2'!AM20,'Main Data'!$A$1:$AE$1,0))</f>
        <v>152.80000000000001</v>
      </c>
      <c r="AP20" s="6">
        <f t="shared" si="2"/>
        <v>-0.69999999999998863</v>
      </c>
      <c r="AQ20" s="17">
        <f t="shared" si="0"/>
        <v>-0.45602605863191442</v>
      </c>
    </row>
    <row r="21" spans="30:43" x14ac:dyDescent="0.25">
      <c r="AG21" s="4" t="s">
        <v>19</v>
      </c>
      <c r="AH21">
        <f>VLOOKUP("2019"&amp;AG21&amp;"Rural+Urban",'Main Data'!$D$1:$AE$373,28,0)</f>
        <v>145</v>
      </c>
      <c r="AI21" s="20">
        <f t="shared" si="3"/>
        <v>0.55478502080444614</v>
      </c>
      <c r="AJ21" s="17"/>
      <c r="AM21" s="4" t="s">
        <v>7</v>
      </c>
      <c r="AN21" s="4">
        <f>INDEX('Main Data'!$A$1:$AE$373,MATCH(2019&amp;'Question 2'!AN$2&amp;"Rural+Urban",'Main Data'!$D$1:$D$373,0),MATCH('Question 2'!AM21,'Main Data'!$A$1:$AE$1,0))</f>
        <v>142.30000000000001</v>
      </c>
      <c r="AO21" s="4">
        <f>INDEX('Main Data'!$A$1:$AE$373,MATCH(2019&amp;'Question 2'!AO$2&amp;"Rural+Urban",'Main Data'!$D$1:$D$373,0),MATCH('Question 2'!AM21,'Main Data'!$A$1:$AE$1,0))</f>
        <v>143.69999999999999</v>
      </c>
      <c r="AP21" s="6">
        <f t="shared" si="2"/>
        <v>1.3999999999999773</v>
      </c>
      <c r="AQ21" s="17">
        <f t="shared" si="0"/>
        <v>0.98383696416020883</v>
      </c>
    </row>
    <row r="22" spans="30:43" x14ac:dyDescent="0.25">
      <c r="AG22" s="4" t="s">
        <v>20</v>
      </c>
      <c r="AH22">
        <f>VLOOKUP("2019"&amp;AG22&amp;"Rural+Urban",'Main Data'!$D$1:$AE$373,28,0)</f>
        <v>145.80000000000001</v>
      </c>
      <c r="AI22" s="20">
        <f t="shared" si="3"/>
        <v>0.55172413793104236</v>
      </c>
      <c r="AJ22" s="17"/>
      <c r="AM22" s="4" t="s">
        <v>6</v>
      </c>
      <c r="AN22" s="4">
        <f>INDEX('Main Data'!$A$1:$AE$373,MATCH(2019&amp;'Question 2'!AN$2&amp;"Rural+Urban",'Main Data'!$D$1:$D$373,0),MATCH('Question 2'!AM22,'Main Data'!$A$1:$AE$1,0))</f>
        <v>145.30000000000001</v>
      </c>
      <c r="AO22" s="4">
        <f>INDEX('Main Data'!$A$1:$AE$373,MATCH(2019&amp;'Question 2'!AO$2&amp;"Rural+Urban",'Main Data'!$D$1:$D$373,0),MATCH('Question 2'!AM22,'Main Data'!$A$1:$AE$1,0))</f>
        <v>145.80000000000001</v>
      </c>
      <c r="AP22" s="6">
        <f t="shared" si="2"/>
        <v>0.5</v>
      </c>
      <c r="AQ22" s="17">
        <f t="shared" si="0"/>
        <v>0.34411562284927733</v>
      </c>
    </row>
    <row r="23" spans="30:43" x14ac:dyDescent="0.25">
      <c r="AG23" s="4" t="s">
        <v>21</v>
      </c>
      <c r="AH23">
        <f>VLOOKUP("2019"&amp;AG23&amp;"Rural+Urban",'Main Data'!$D$1:$AE$373,28,0)</f>
        <v>147.19999999999999</v>
      </c>
      <c r="AI23" s="20">
        <f t="shared" si="3"/>
        <v>0.96021947873798152</v>
      </c>
      <c r="AJ23" s="17"/>
      <c r="AM23" s="4" t="s">
        <v>42</v>
      </c>
      <c r="AN23" s="4">
        <f>INDEX('Main Data'!$A$1:$AE$373,MATCH(2019&amp;'Question 2'!AN$2&amp;"Rural+Urban",'Main Data'!$D$1:$D$373,0),MATCH('Question 2'!AM23,'Main Data'!$A$1:$AE$1,0))</f>
        <v>149.9</v>
      </c>
      <c r="AO23" s="4">
        <f>INDEX('Main Data'!$A$1:$AE$373,MATCH(2019&amp;'Question 2'!AO$2&amp;"Rural+Urban",'Main Data'!$D$1:$D$373,0),MATCH('Question 2'!AM23,'Main Data'!$A$1:$AE$1,0))</f>
        <v>150.4</v>
      </c>
      <c r="AP23" s="6">
        <f t="shared" si="2"/>
        <v>0.5</v>
      </c>
      <c r="AQ23" s="17">
        <f t="shared" si="0"/>
        <v>0.33355570380253502</v>
      </c>
    </row>
    <row r="24" spans="30:43" x14ac:dyDescent="0.25">
      <c r="AG24" s="4" t="s">
        <v>23</v>
      </c>
      <c r="AH24">
        <f>VLOOKUP("2019"&amp;AG24&amp;"Rural+Urban",'Main Data'!$D$1:$AE$373,28,0)</f>
        <v>148.6</v>
      </c>
      <c r="AI24" s="20">
        <f t="shared" si="3"/>
        <v>0.95108695652174302</v>
      </c>
      <c r="AJ24" s="17"/>
      <c r="AM24" s="4" t="s">
        <v>43</v>
      </c>
      <c r="AN24" s="4">
        <f>INDEX('Main Data'!$A$1:$AE$373,MATCH(2019&amp;'Question 2'!AN$2&amp;"Rural+Urban",'Main Data'!$D$1:$D$373,0),MATCH('Question 2'!AM24,'Main Data'!$A$1:$AE$1,0))</f>
        <v>126.6</v>
      </c>
      <c r="AO24" s="4">
        <f>INDEX('Main Data'!$A$1:$AE$373,MATCH(2019&amp;'Question 2'!AO$2&amp;"Rural+Urban",'Main Data'!$D$1:$D$373,0),MATCH('Question 2'!AM24,'Main Data'!$A$1:$AE$1,0))</f>
        <v>129.80000000000001</v>
      </c>
      <c r="AP24" s="6">
        <f t="shared" si="2"/>
        <v>3.2000000000000171</v>
      </c>
      <c r="AQ24" s="17">
        <f t="shared" si="0"/>
        <v>2.5276461295418775</v>
      </c>
    </row>
    <row r="25" spans="30:43" x14ac:dyDescent="0.25">
      <c r="AG25" s="4" t="s">
        <v>24</v>
      </c>
      <c r="AH25">
        <f>VLOOKUP("2019"&amp;AG25&amp;"Rural+Urban",'Main Data'!$D$1:$AE$373,28,0)</f>
        <v>150.4</v>
      </c>
      <c r="AI25" s="20">
        <f t="shared" si="3"/>
        <v>1.2113055181695904</v>
      </c>
      <c r="AJ25" s="17"/>
      <c r="AM25" s="4" t="s">
        <v>44</v>
      </c>
      <c r="AN25" s="4">
        <f>INDEX('Main Data'!$A$1:$AE$373,MATCH(2019&amp;'Question 2'!AN$2&amp;"Rural+Urban",'Main Data'!$D$1:$D$373,0),MATCH('Question 2'!AM25,'Main Data'!$A$1:$AE$1,0))</f>
        <v>142.1</v>
      </c>
      <c r="AO25" s="4">
        <f>INDEX('Main Data'!$A$1:$AE$373,MATCH(2019&amp;'Question 2'!AO$2&amp;"Rural+Urban",'Main Data'!$D$1:$D$373,0),MATCH('Question 2'!AM25,'Main Data'!$A$1:$AE$1,0))</f>
        <v>142.30000000000001</v>
      </c>
      <c r="AP25" s="6">
        <f t="shared" si="2"/>
        <v>0.20000000000001705</v>
      </c>
      <c r="AQ25" s="17">
        <f t="shared" si="0"/>
        <v>0.14074595355384734</v>
      </c>
    </row>
    <row r="26" spans="30:43" x14ac:dyDescent="0.25">
      <c r="AI26">
        <f>SUM(AI16:AI25)</f>
        <v>7.4845500055394973</v>
      </c>
      <c r="AM26" s="4" t="s">
        <v>45</v>
      </c>
      <c r="AN26" s="4">
        <f>INDEX('Main Data'!$A$1:$AE$373,MATCH(2019&amp;'Question 2'!AN$2&amp;"Rural+Urban",'Main Data'!$D$1:$D$373,0),MATCH('Question 2'!AM26,'Main Data'!$A$1:$AE$1,0))</f>
        <v>155.5</v>
      </c>
      <c r="AO26" s="4">
        <f>INDEX('Main Data'!$A$1:$AE$373,MATCH(2019&amp;'Question 2'!AO$2&amp;"Rural+Urban",'Main Data'!$D$1:$D$373,0),MATCH('Question 2'!AM26,'Main Data'!$A$1:$AE$1,0))</f>
        <v>155.69999999999999</v>
      </c>
      <c r="AP26" s="6">
        <f t="shared" si="2"/>
        <v>0.19999999999998863</v>
      </c>
      <c r="AQ26" s="17">
        <f t="shared" si="0"/>
        <v>0.12861736334404414</v>
      </c>
    </row>
    <row r="27" spans="30:43" x14ac:dyDescent="0.25">
      <c r="AM27" s="4" t="s">
        <v>46</v>
      </c>
      <c r="AN27" s="4">
        <f>INDEX('Main Data'!$A$1:$AE$373,MATCH(2019&amp;'Question 2'!AN$2&amp;"Rural+Urban",'Main Data'!$D$1:$D$373,0),MATCH('Question 2'!AM27,'Main Data'!$A$1:$AE$1,0))</f>
        <v>140.30000000000001</v>
      </c>
      <c r="AO27" s="4">
        <f>INDEX('Main Data'!$A$1:$AE$373,MATCH(2019&amp;'Question 2'!AO$2&amp;"Rural+Urban",'Main Data'!$D$1:$D$373,0),MATCH('Question 2'!AM27,'Main Data'!$A$1:$AE$1,0))</f>
        <v>140.4</v>
      </c>
      <c r="AP27" s="6">
        <f t="shared" si="2"/>
        <v>9.9999999999994316E-2</v>
      </c>
      <c r="AQ27" s="17">
        <f t="shared" si="0"/>
        <v>7.1275837491086458E-2</v>
      </c>
    </row>
    <row r="28" spans="30:43" x14ac:dyDescent="0.25">
      <c r="AM28" s="4" t="s">
        <v>8</v>
      </c>
      <c r="AN28" s="4">
        <f>INDEX('Main Data'!$A$1:$AE$373,MATCH(2019&amp;'Question 2'!AN$2&amp;"Rural+Urban",'Main Data'!$D$1:$D$373,0),MATCH('Question 2'!AM28,'Main Data'!$A$1:$AE$1,0))</f>
        <v>141.30000000000001</v>
      </c>
      <c r="AO28" s="4">
        <f>INDEX('Main Data'!$A$1:$AE$373,MATCH(2019&amp;'Question 2'!AO$2&amp;"Rural+Urban",'Main Data'!$D$1:$D$373,0),MATCH('Question 2'!AM28,'Main Data'!$A$1:$AE$1,0))</f>
        <v>142.5</v>
      </c>
      <c r="AP28" s="6">
        <f t="shared" si="2"/>
        <v>1.1999999999999886</v>
      </c>
      <c r="AQ28" s="17">
        <f t="shared" si="0"/>
        <v>0.84925690021230604</v>
      </c>
    </row>
    <row r="29" spans="30:43" x14ac:dyDescent="0.25">
      <c r="AD29" s="17"/>
    </row>
    <row r="34" spans="1:9" ht="18.75" x14ac:dyDescent="0.3">
      <c r="A34" s="13" t="s">
        <v>64</v>
      </c>
    </row>
    <row r="35" spans="1:9" ht="18.75" x14ac:dyDescent="0.3">
      <c r="I35" s="13" t="s">
        <v>68</v>
      </c>
    </row>
  </sheetData>
  <phoneticPr fontId="20" type="noConversion"/>
  <conditionalFormatting sqref="AP3:AP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50B02-CA8A-40F4-962A-810761009886}">
  <dimension ref="A2:AK32"/>
  <sheetViews>
    <sheetView topLeftCell="A18" zoomScale="111" workbookViewId="0">
      <selection activeCell="T30" sqref="T30"/>
    </sheetView>
  </sheetViews>
  <sheetFormatPr defaultRowHeight="15" x14ac:dyDescent="0.25"/>
  <cols>
    <col min="12" max="12" width="25.7109375" bestFit="1" customWidth="1"/>
    <col min="19" max="19" width="33.28515625" bestFit="1" customWidth="1"/>
    <col min="20" max="25" width="9.28515625" bestFit="1" customWidth="1"/>
    <col min="26" max="26" width="10.28515625" bestFit="1" customWidth="1"/>
    <col min="27" max="30" width="9.28515625" bestFit="1" customWidth="1"/>
    <col min="31" max="31" width="12" customWidth="1"/>
    <col min="34" max="34" width="33.28515625" bestFit="1" customWidth="1"/>
  </cols>
  <sheetData>
    <row r="2" spans="1:37" x14ac:dyDescent="0.25">
      <c r="S2" s="51" t="s">
        <v>74</v>
      </c>
      <c r="T2" s="51" t="s">
        <v>27</v>
      </c>
      <c r="U2" s="51" t="s">
        <v>28</v>
      </c>
      <c r="V2" s="51" t="s">
        <v>29</v>
      </c>
      <c r="W2" s="51" t="s">
        <v>30</v>
      </c>
      <c r="X2" s="51" t="s">
        <v>31</v>
      </c>
      <c r="Y2" s="51" t="s">
        <v>32</v>
      </c>
      <c r="Z2" s="51" t="s">
        <v>33</v>
      </c>
      <c r="AA2" s="51" t="s">
        <v>34</v>
      </c>
      <c r="AB2" s="51" t="s">
        <v>35</v>
      </c>
      <c r="AC2" s="51" t="s">
        <v>36</v>
      </c>
      <c r="AD2" s="51" t="s">
        <v>37</v>
      </c>
      <c r="AE2" s="51" t="s">
        <v>38</v>
      </c>
      <c r="AF2" s="51" t="s">
        <v>50</v>
      </c>
      <c r="AH2" s="51" t="s">
        <v>91</v>
      </c>
      <c r="AI2" s="54">
        <v>44713</v>
      </c>
      <c r="AJ2" s="54">
        <v>45047</v>
      </c>
      <c r="AK2" s="55" t="s">
        <v>62</v>
      </c>
    </row>
    <row r="3" spans="1:37" x14ac:dyDescent="0.25">
      <c r="S3" t="s">
        <v>148</v>
      </c>
      <c r="T3" s="4">
        <f>INDEX('Main Data'!$D$1:$AE$373,MATCH('Question 3'!$S3,'Main Data'!$D$1:$D$373,0),MATCH('Question 3'!T$2,'Main Data'!$D$1:$AE$1,0))</f>
        <v>152.9</v>
      </c>
      <c r="U3" s="4">
        <f>INDEX('Main Data'!$D$1:$AE$373,MATCH('Question 3'!$S3,'Main Data'!$D$1:$D$373,0),MATCH('Question 3'!U$2,'Main Data'!$D$1:$AE$1,0))</f>
        <v>211.8</v>
      </c>
      <c r="V3" s="4">
        <f>INDEX('Main Data'!$D$1:$AE$373,MATCH('Question 3'!$S3,'Main Data'!$D$1:$D$373,0),MATCH('Question 3'!V$2,'Main Data'!$D$1:$AE$1,0))</f>
        <v>164.5</v>
      </c>
      <c r="W3" s="4">
        <f>INDEX('Main Data'!$D$1:$AE$373,MATCH('Question 3'!$S3,'Main Data'!$D$1:$D$373,0),MATCH('Question 3'!W$2,'Main Data'!$D$1:$AE$1,0))</f>
        <v>163.9</v>
      </c>
      <c r="X3" s="4">
        <f>INDEX('Main Data'!$D$1:$AE$373,MATCH('Question 3'!$S3,'Main Data'!$D$1:$D$373,0),MATCH('Question 3'!X$2,'Main Data'!$D$1:$AE$1,0))</f>
        <v>199.5</v>
      </c>
      <c r="Y3" s="4">
        <f>INDEX('Main Data'!$D$1:$AE$373,MATCH('Question 3'!$S3,'Main Data'!$D$1:$D$373,0),MATCH('Question 3'!Y$2,'Main Data'!$D$1:$AE$1,0))</f>
        <v>172.6</v>
      </c>
      <c r="Z3" s="4">
        <f>INDEX('Main Data'!$D$1:$AE$373,MATCH('Question 3'!$S3,'Main Data'!$D$1:$D$373,0),MATCH('Question 3'!Z$2,'Main Data'!$D$1:$AE$1,0))</f>
        <v>166.2</v>
      </c>
      <c r="AA3" s="4">
        <f>INDEX('Main Data'!$D$1:$AE$373,MATCH('Question 3'!$S3,'Main Data'!$D$1:$D$373,0),MATCH('Question 3'!AA$2,'Main Data'!$D$1:$AE$1,0))</f>
        <v>164.7</v>
      </c>
      <c r="AB3" s="4">
        <f>INDEX('Main Data'!$D$1:$AE$373,MATCH('Question 3'!$S3,'Main Data'!$D$1:$D$373,0),MATCH('Question 3'!AB$2,'Main Data'!$D$1:$AE$1,0))</f>
        <v>119</v>
      </c>
      <c r="AC3" s="4">
        <f>INDEX('Main Data'!$D$1:$AE$373,MATCH('Question 3'!$S3,'Main Data'!$D$1:$D$373,0),MATCH('Question 3'!AC$2,'Main Data'!$D$1:$AE$1,0))</f>
        <v>181.3</v>
      </c>
      <c r="AD3" s="4">
        <f>INDEX('Main Data'!$D$1:$AE$373,MATCH('Question 3'!$S3,'Main Data'!$D$1:$D$373,0),MATCH('Question 3'!AD$2,'Main Data'!$D$1:$AE$1,0))</f>
        <v>166.2</v>
      </c>
      <c r="AE3" s="4">
        <f>INDEX('Main Data'!$D$1:$AE$373,MATCH('Question 3'!$S3,'Main Data'!$D$1:$D$373,0),MATCH('Question 3'!AE$2,'Main Data'!$D$1:$AE$1,0))</f>
        <v>180.9</v>
      </c>
      <c r="AF3">
        <f t="shared" ref="AF3:AF17" si="0">SUM(T3:AE3)</f>
        <v>2043.5000000000002</v>
      </c>
      <c r="AH3" s="29" t="s">
        <v>27</v>
      </c>
      <c r="AI3" s="4">
        <f t="shared" ref="AI3:AI13" si="1">INDEX($S$2:$AE$16,MATCH(2022&amp;"June"&amp;"Rural+Urban",$S$2:$S$16,0),MATCH(AH3,$S$2:$AE$2,0))</f>
        <v>155</v>
      </c>
      <c r="AJ3" s="4">
        <f t="shared" ref="AJ3:AJ13" si="2">INDEX($S$2:$AE$16,MATCH(2023&amp;"May"&amp;"Rural+Urban",$S$2:$S$16,0),MATCH(AH3,$S$2:$AE$2,0))</f>
        <v>173.7</v>
      </c>
      <c r="AK3" s="53">
        <f>(AJ3-AI3)/AI3*100</f>
        <v>12.064516129032251</v>
      </c>
    </row>
    <row r="4" spans="1:37" x14ac:dyDescent="0.25">
      <c r="L4" t="s">
        <v>71</v>
      </c>
      <c r="M4" t="s">
        <v>72</v>
      </c>
      <c r="S4" s="29" t="s">
        <v>87</v>
      </c>
      <c r="T4" s="4">
        <f>INDEX('Main Data'!$D$1:$AE$373,MATCH('Question 3'!$S4,'Main Data'!$D$1:$D$373,0),MATCH('Question 3'!T$2,'Main Data'!$D$1:$AE$1,0))</f>
        <v>154.1</v>
      </c>
      <c r="U4" s="4">
        <f>INDEX('Main Data'!$D$1:$AE$373,MATCH('Question 3'!$S4,'Main Data'!$D$1:$D$373,0),MATCH('Question 3'!U$2,'Main Data'!$D$1:$AE$1,0))</f>
        <v>217</v>
      </c>
      <c r="V4" s="4">
        <f>INDEX('Main Data'!$D$1:$AE$373,MATCH('Question 3'!$S4,'Main Data'!$D$1:$D$373,0),MATCH('Question 3'!V$2,'Main Data'!$D$1:$AE$1,0))</f>
        <v>162.4</v>
      </c>
      <c r="W4" s="4">
        <f>INDEX('Main Data'!$D$1:$AE$373,MATCH('Question 3'!$S4,'Main Data'!$D$1:$D$373,0),MATCH('Question 3'!W$2,'Main Data'!$D$1:$AE$1,0))</f>
        <v>164.9</v>
      </c>
      <c r="X4" s="4">
        <f>INDEX('Main Data'!$D$1:$AE$373,MATCH('Question 3'!$S4,'Main Data'!$D$1:$D$373,0),MATCH('Question 3'!X$2,'Main Data'!$D$1:$AE$1,0))</f>
        <v>202.4</v>
      </c>
      <c r="Y4" s="4">
        <f>INDEX('Main Data'!$D$1:$AE$373,MATCH('Question 3'!$S4,'Main Data'!$D$1:$D$373,0),MATCH('Question 3'!Y$2,'Main Data'!$D$1:$AE$1,0))</f>
        <v>171</v>
      </c>
      <c r="Z4" s="4">
        <f>INDEX('Main Data'!$D$1:$AE$373,MATCH('Question 3'!$S4,'Main Data'!$D$1:$D$373,0),MATCH('Question 3'!Z$2,'Main Data'!$D$1:$AE$1,0))</f>
        <v>174.9</v>
      </c>
      <c r="AA4" s="4">
        <f>INDEX('Main Data'!$D$1:$AE$373,MATCH('Question 3'!$S4,'Main Data'!$D$1:$D$373,0),MATCH('Question 3'!AA$2,'Main Data'!$D$1:$AE$1,0))</f>
        <v>164.7</v>
      </c>
      <c r="AB4" s="4">
        <f>INDEX('Main Data'!$D$1:$AE$373,MATCH('Question 3'!$S4,'Main Data'!$D$1:$D$373,0),MATCH('Question 3'!AB$2,'Main Data'!$D$1:$AE$1,0))</f>
        <v>119.7</v>
      </c>
      <c r="AC4" s="4">
        <f>INDEX('Main Data'!$D$1:$AE$373,MATCH('Question 3'!$S4,'Main Data'!$D$1:$D$373,0),MATCH('Question 3'!AC$2,'Main Data'!$D$1:$AE$1,0))</f>
        <v>184.9</v>
      </c>
      <c r="AD4" s="4">
        <f>INDEX('Main Data'!$D$1:$AE$373,MATCH('Question 3'!$S4,'Main Data'!$D$1:$D$373,0),MATCH('Question 3'!AD$2,'Main Data'!$D$1:$AE$1,0))</f>
        <v>167.1</v>
      </c>
      <c r="AE4" s="4">
        <f>INDEX('Main Data'!$D$1:$AE$373,MATCH('Question 3'!$S4,'Main Data'!$D$1:$D$373,0),MATCH('Question 3'!AE$2,'Main Data'!$D$1:$AE$1,0))</f>
        <v>182.5</v>
      </c>
      <c r="AF4" s="4">
        <f t="shared" si="0"/>
        <v>2065.6000000000004</v>
      </c>
      <c r="AH4" s="29" t="s">
        <v>28</v>
      </c>
      <c r="AI4" s="4">
        <f t="shared" si="1"/>
        <v>219.4</v>
      </c>
      <c r="AJ4" s="4">
        <f t="shared" si="2"/>
        <v>214.3</v>
      </c>
      <c r="AK4" s="53">
        <f t="shared" ref="AK4:AK12" si="3">(AJ4-AI4)/AI4*100</f>
        <v>-2.3245214220601613</v>
      </c>
    </row>
    <row r="5" spans="1:37" x14ac:dyDescent="0.25">
      <c r="L5" t="s">
        <v>73</v>
      </c>
      <c r="S5" s="4" t="s">
        <v>75</v>
      </c>
      <c r="T5" s="4">
        <f>INDEX('Main Data'!$D$1:$AE$373,MATCH('Question 3'!$S5,'Main Data'!$D$1:$D$373,0),MATCH('Question 3'!T$2,'Main Data'!$D$1:$AE$1,0))</f>
        <v>155</v>
      </c>
      <c r="U5" s="4">
        <f>INDEX('Main Data'!$D$1:$AE$373,MATCH('Question 3'!$S5,'Main Data'!$D$1:$D$373,0),MATCH('Question 3'!U$2,'Main Data'!$D$1:$AE$1,0))</f>
        <v>219.4</v>
      </c>
      <c r="V5" s="4">
        <f>INDEX('Main Data'!$D$1:$AE$373,MATCH('Question 3'!$S5,'Main Data'!$D$1:$D$373,0),MATCH('Question 3'!V$2,'Main Data'!$D$1:$AE$1,0))</f>
        <v>170.8</v>
      </c>
      <c r="W5" s="4">
        <f>INDEX('Main Data'!$D$1:$AE$373,MATCH('Question 3'!$S5,'Main Data'!$D$1:$D$373,0),MATCH('Question 3'!W$2,'Main Data'!$D$1:$AE$1,0))</f>
        <v>165.8</v>
      </c>
      <c r="X5" s="4">
        <f>INDEX('Main Data'!$D$1:$AE$373,MATCH('Question 3'!$S5,'Main Data'!$D$1:$D$373,0),MATCH('Question 3'!X$2,'Main Data'!$D$1:$AE$1,0))</f>
        <v>200.9</v>
      </c>
      <c r="Y5" s="4">
        <f>INDEX('Main Data'!$D$1:$AE$373,MATCH('Question 3'!$S5,'Main Data'!$D$1:$D$373,0),MATCH('Question 3'!Y$2,'Main Data'!$D$1:$AE$1,0))</f>
        <v>169.7</v>
      </c>
      <c r="Z5" s="4">
        <f>INDEX('Main Data'!$D$1:$AE$373,MATCH('Question 3'!$S5,'Main Data'!$D$1:$D$373,0),MATCH('Question 3'!Z$2,'Main Data'!$D$1:$AE$1,0))</f>
        <v>182.3</v>
      </c>
      <c r="AA5" s="4">
        <f>INDEX('Main Data'!$D$1:$AE$373,MATCH('Question 3'!$S5,'Main Data'!$D$1:$D$373,0),MATCH('Question 3'!AA$2,'Main Data'!$D$1:$AE$1,0))</f>
        <v>164.3</v>
      </c>
      <c r="AB5" s="4">
        <f>INDEX('Main Data'!$D$1:$AE$373,MATCH('Question 3'!$S5,'Main Data'!$D$1:$D$373,0),MATCH('Question 3'!AB$2,'Main Data'!$D$1:$AE$1,0))</f>
        <v>119.9</v>
      </c>
      <c r="AC5" s="4">
        <f>INDEX('Main Data'!$D$1:$AE$373,MATCH('Question 3'!$S5,'Main Data'!$D$1:$D$373,0),MATCH('Question 3'!AC$2,'Main Data'!$D$1:$AE$1,0))</f>
        <v>187.1</v>
      </c>
      <c r="AD5" s="4">
        <f>INDEX('Main Data'!$D$1:$AE$373,MATCH('Question 3'!$S5,'Main Data'!$D$1:$D$373,0),MATCH('Question 3'!AD$2,'Main Data'!$D$1:$AE$1,0))</f>
        <v>167.9</v>
      </c>
      <c r="AE5" s="4">
        <f>INDEX('Main Data'!$D$1:$AE$373,MATCH('Question 3'!$S5,'Main Data'!$D$1:$D$373,0),MATCH('Question 3'!AE$2,'Main Data'!$D$1:$AE$1,0))</f>
        <v>183.9</v>
      </c>
      <c r="AF5" s="4">
        <f t="shared" si="0"/>
        <v>2087</v>
      </c>
      <c r="AH5" s="29" t="s">
        <v>29</v>
      </c>
      <c r="AI5" s="4">
        <f t="shared" si="1"/>
        <v>170.8</v>
      </c>
      <c r="AJ5" s="4">
        <f t="shared" si="2"/>
        <v>173.2</v>
      </c>
      <c r="AK5" s="53">
        <f t="shared" si="3"/>
        <v>1.4051522248243427</v>
      </c>
    </row>
    <row r="6" spans="1:37" x14ac:dyDescent="0.25">
      <c r="S6" s="4" t="s">
        <v>76</v>
      </c>
      <c r="T6" s="4">
        <f>INDEX('Main Data'!$D$1:$AE$373,MATCH('Question 3'!$S6,'Main Data'!$D$1:$D$373,0),MATCH('Question 3'!T$2,'Main Data'!$D$1:$AE$1,0))</f>
        <v>156.5</v>
      </c>
      <c r="U6" s="4">
        <f>INDEX('Main Data'!$D$1:$AE$373,MATCH('Question 3'!$S6,'Main Data'!$D$1:$D$373,0),MATCH('Question 3'!U$2,'Main Data'!$D$1:$AE$1,0))</f>
        <v>213</v>
      </c>
      <c r="V6" s="4">
        <f>INDEX('Main Data'!$D$1:$AE$373,MATCH('Question 3'!$S6,'Main Data'!$D$1:$D$373,0),MATCH('Question 3'!V$2,'Main Data'!$D$1:$AE$1,0))</f>
        <v>175.2</v>
      </c>
      <c r="W6" s="4">
        <f>INDEX('Main Data'!$D$1:$AE$373,MATCH('Question 3'!$S6,'Main Data'!$D$1:$D$373,0),MATCH('Question 3'!W$2,'Main Data'!$D$1:$AE$1,0))</f>
        <v>166.6</v>
      </c>
      <c r="X6" s="4">
        <f>INDEX('Main Data'!$D$1:$AE$373,MATCH('Question 3'!$S6,'Main Data'!$D$1:$D$373,0),MATCH('Question 3'!X$2,'Main Data'!$D$1:$AE$1,0))</f>
        <v>195.8</v>
      </c>
      <c r="Y6" s="4">
        <f>INDEX('Main Data'!$D$1:$AE$373,MATCH('Question 3'!$S6,'Main Data'!$D$1:$D$373,0),MATCH('Question 3'!Y$2,'Main Data'!$D$1:$AE$1,0))</f>
        <v>174.2</v>
      </c>
      <c r="Z6" s="4">
        <f>INDEX('Main Data'!$D$1:$AE$373,MATCH('Question 3'!$S6,'Main Data'!$D$1:$D$373,0),MATCH('Question 3'!Z$2,'Main Data'!$D$1:$AE$1,0))</f>
        <v>182.1</v>
      </c>
      <c r="AA6" s="4">
        <f>INDEX('Main Data'!$D$1:$AE$373,MATCH('Question 3'!$S6,'Main Data'!$D$1:$D$373,0),MATCH('Question 3'!AA$2,'Main Data'!$D$1:$AE$1,0))</f>
        <v>164.3</v>
      </c>
      <c r="AB6" s="4">
        <f>INDEX('Main Data'!$D$1:$AE$373,MATCH('Question 3'!$S6,'Main Data'!$D$1:$D$373,0),MATCH('Question 3'!AB$2,'Main Data'!$D$1:$AE$1,0))</f>
        <v>120</v>
      </c>
      <c r="AC6" s="4">
        <f>INDEX('Main Data'!$D$1:$AE$373,MATCH('Question 3'!$S6,'Main Data'!$D$1:$D$373,0),MATCH('Question 3'!AC$2,'Main Data'!$D$1:$AE$1,0))</f>
        <v>190</v>
      </c>
      <c r="AD6" s="4">
        <f>INDEX('Main Data'!$D$1:$AE$373,MATCH('Question 3'!$S6,'Main Data'!$D$1:$D$373,0),MATCH('Question 3'!AD$2,'Main Data'!$D$1:$AE$1,0))</f>
        <v>168.4</v>
      </c>
      <c r="AE6" s="4">
        <f>INDEX('Main Data'!$D$1:$AE$373,MATCH('Question 3'!$S6,'Main Data'!$D$1:$D$373,0),MATCH('Question 3'!AE$2,'Main Data'!$D$1:$AE$1,0))</f>
        <v>185.2</v>
      </c>
      <c r="AF6" s="4">
        <f t="shared" si="0"/>
        <v>2091.3000000000002</v>
      </c>
      <c r="AH6" s="29" t="s">
        <v>30</v>
      </c>
      <c r="AI6" s="4">
        <f t="shared" si="1"/>
        <v>165.8</v>
      </c>
      <c r="AJ6" s="4">
        <f t="shared" si="2"/>
        <v>179.5</v>
      </c>
      <c r="AK6" s="53">
        <f t="shared" si="3"/>
        <v>8.2629674306393177</v>
      </c>
    </row>
    <row r="7" spans="1:37" x14ac:dyDescent="0.25">
      <c r="S7" s="4" t="s">
        <v>77</v>
      </c>
      <c r="T7" s="4">
        <f>INDEX('Main Data'!$D$1:$AE$373,MATCH('Question 3'!$S7,'Main Data'!$D$1:$D$373,0),MATCH('Question 3'!T$2,'Main Data'!$D$1:$AE$1,0))</f>
        <v>160.30000000000001</v>
      </c>
      <c r="U7" s="4">
        <f>INDEX('Main Data'!$D$1:$AE$373,MATCH('Question 3'!$S7,'Main Data'!$D$1:$D$373,0),MATCH('Question 3'!U$2,'Main Data'!$D$1:$AE$1,0))</f>
        <v>206.5</v>
      </c>
      <c r="V7" s="4">
        <f>INDEX('Main Data'!$D$1:$AE$373,MATCH('Question 3'!$S7,'Main Data'!$D$1:$D$373,0),MATCH('Question 3'!V$2,'Main Data'!$D$1:$AE$1,0))</f>
        <v>169.2</v>
      </c>
      <c r="W7" s="4">
        <f>INDEX('Main Data'!$D$1:$AE$373,MATCH('Question 3'!$S7,'Main Data'!$D$1:$D$373,0),MATCH('Question 3'!W$2,'Main Data'!$D$1:$AE$1,0))</f>
        <v>168.1</v>
      </c>
      <c r="X7" s="4">
        <f>INDEX('Main Data'!$D$1:$AE$373,MATCH('Question 3'!$S7,'Main Data'!$D$1:$D$373,0),MATCH('Question 3'!X$2,'Main Data'!$D$1:$AE$1,0))</f>
        <v>192.4</v>
      </c>
      <c r="Y7" s="4">
        <f>INDEX('Main Data'!$D$1:$AE$373,MATCH('Question 3'!$S7,'Main Data'!$D$1:$D$373,0),MATCH('Question 3'!Y$2,'Main Data'!$D$1:$AE$1,0))</f>
        <v>172.9</v>
      </c>
      <c r="Z7" s="4">
        <f>INDEX('Main Data'!$D$1:$AE$373,MATCH('Question 3'!$S7,'Main Data'!$D$1:$D$373,0),MATCH('Question 3'!Z$2,'Main Data'!$D$1:$AE$1,0))</f>
        <v>186.7</v>
      </c>
      <c r="AA7" s="4">
        <f>INDEX('Main Data'!$D$1:$AE$373,MATCH('Question 3'!$S7,'Main Data'!$D$1:$D$373,0),MATCH('Question 3'!AA$2,'Main Data'!$D$1:$AE$1,0))</f>
        <v>167.2</v>
      </c>
      <c r="AB7" s="4">
        <f>INDEX('Main Data'!$D$1:$AE$373,MATCH('Question 3'!$S7,'Main Data'!$D$1:$D$373,0),MATCH('Question 3'!AB$2,'Main Data'!$D$1:$AE$1,0))</f>
        <v>120.9</v>
      </c>
      <c r="AC7" s="4">
        <f>INDEX('Main Data'!$D$1:$AE$373,MATCH('Question 3'!$S7,'Main Data'!$D$1:$D$373,0),MATCH('Question 3'!AC$2,'Main Data'!$D$1:$AE$1,0))</f>
        <v>193.6</v>
      </c>
      <c r="AD7" s="4">
        <f>INDEX('Main Data'!$D$1:$AE$373,MATCH('Question 3'!$S7,'Main Data'!$D$1:$D$373,0),MATCH('Question 3'!AD$2,'Main Data'!$D$1:$AE$1,0))</f>
        <v>168.8</v>
      </c>
      <c r="AE7" s="4">
        <f>INDEX('Main Data'!$D$1:$AE$373,MATCH('Question 3'!$S7,'Main Data'!$D$1:$D$373,0),MATCH('Question 3'!AE$2,'Main Data'!$D$1:$AE$1,0))</f>
        <v>186.3</v>
      </c>
      <c r="AF7" s="4">
        <f t="shared" si="0"/>
        <v>2092.9</v>
      </c>
      <c r="AH7" s="29" t="s">
        <v>31</v>
      </c>
      <c r="AI7" s="4">
        <f t="shared" si="1"/>
        <v>200.9</v>
      </c>
      <c r="AJ7" s="4">
        <f t="shared" si="2"/>
        <v>170</v>
      </c>
      <c r="AK7" s="53">
        <f t="shared" si="3"/>
        <v>-15.380786460925835</v>
      </c>
    </row>
    <row r="8" spans="1:37" x14ac:dyDescent="0.25">
      <c r="S8" s="4" t="s">
        <v>78</v>
      </c>
      <c r="T8" s="4">
        <f>INDEX('Main Data'!$D$1:$AE$373,MATCH('Question 3'!$S8,'Main Data'!$D$1:$D$373,0),MATCH('Question 3'!T$2,'Main Data'!$D$1:$AE$1,0))</f>
        <v>163.5</v>
      </c>
      <c r="U8" s="4">
        <f>INDEX('Main Data'!$D$1:$AE$373,MATCH('Question 3'!$S8,'Main Data'!$D$1:$D$373,0),MATCH('Question 3'!U$2,'Main Data'!$D$1:$AE$1,0))</f>
        <v>209.2</v>
      </c>
      <c r="V8" s="4">
        <f>INDEX('Main Data'!$D$1:$AE$373,MATCH('Question 3'!$S8,'Main Data'!$D$1:$D$373,0),MATCH('Question 3'!V$2,'Main Data'!$D$1:$AE$1,0))</f>
        <v>169.7</v>
      </c>
      <c r="W8" s="4">
        <f>INDEX('Main Data'!$D$1:$AE$373,MATCH('Question 3'!$S8,'Main Data'!$D$1:$D$373,0),MATCH('Question 3'!W$2,'Main Data'!$D$1:$AE$1,0))</f>
        <v>169.7</v>
      </c>
      <c r="X8" s="4">
        <f>INDEX('Main Data'!$D$1:$AE$373,MATCH('Question 3'!$S8,'Main Data'!$D$1:$D$373,0),MATCH('Question 3'!X$2,'Main Data'!$D$1:$AE$1,0))</f>
        <v>188.7</v>
      </c>
      <c r="Y8" s="4">
        <f>INDEX('Main Data'!$D$1:$AE$373,MATCH('Question 3'!$S8,'Main Data'!$D$1:$D$373,0),MATCH('Question 3'!Y$2,'Main Data'!$D$1:$AE$1,0))</f>
        <v>165.7</v>
      </c>
      <c r="Z8" s="4">
        <f>INDEX('Main Data'!$D$1:$AE$373,MATCH('Question 3'!$S8,'Main Data'!$D$1:$D$373,0),MATCH('Question 3'!Z$2,'Main Data'!$D$1:$AE$1,0))</f>
        <v>191.8</v>
      </c>
      <c r="AA8" s="4">
        <f>INDEX('Main Data'!$D$1:$AE$373,MATCH('Question 3'!$S8,'Main Data'!$D$1:$D$373,0),MATCH('Question 3'!AA$2,'Main Data'!$D$1:$AE$1,0))</f>
        <v>169.1</v>
      </c>
      <c r="AB8" s="4">
        <f>INDEX('Main Data'!$D$1:$AE$373,MATCH('Question 3'!$S8,'Main Data'!$D$1:$D$373,0),MATCH('Question 3'!AB$2,'Main Data'!$D$1:$AE$1,0))</f>
        <v>121.6</v>
      </c>
      <c r="AC8" s="4">
        <f>INDEX('Main Data'!$D$1:$AE$373,MATCH('Question 3'!$S8,'Main Data'!$D$1:$D$373,0),MATCH('Question 3'!AC$2,'Main Data'!$D$1:$AE$1,0))</f>
        <v>197.3</v>
      </c>
      <c r="AD8" s="4">
        <f>INDEX('Main Data'!$D$1:$AE$373,MATCH('Question 3'!$S8,'Main Data'!$D$1:$D$373,0),MATCH('Question 3'!AD$2,'Main Data'!$D$1:$AE$1,0))</f>
        <v>169.4</v>
      </c>
      <c r="AE8" s="4">
        <f>INDEX('Main Data'!$D$1:$AE$373,MATCH('Question 3'!$S8,'Main Data'!$D$1:$D$373,0),MATCH('Question 3'!AE$2,'Main Data'!$D$1:$AE$1,0))</f>
        <v>187.4</v>
      </c>
      <c r="AF8" s="4">
        <f t="shared" si="0"/>
        <v>2103.1</v>
      </c>
      <c r="AH8" s="29" t="s">
        <v>32</v>
      </c>
      <c r="AI8" s="4">
        <f t="shared" si="1"/>
        <v>169.7</v>
      </c>
      <c r="AJ8" s="4">
        <f t="shared" si="2"/>
        <v>172.2</v>
      </c>
      <c r="AK8" s="53">
        <f t="shared" si="3"/>
        <v>1.4731879787860933</v>
      </c>
    </row>
    <row r="9" spans="1:37" x14ac:dyDescent="0.25">
      <c r="S9" s="4" t="s">
        <v>79</v>
      </c>
      <c r="T9" s="4">
        <f>INDEX('Main Data'!$D$1:$AE$373,MATCH('Question 3'!$S9,'Main Data'!$D$1:$D$373,0),MATCH('Question 3'!T$2,'Main Data'!$D$1:$AE$1,0))</f>
        <v>165.2</v>
      </c>
      <c r="U9" s="4">
        <f>INDEX('Main Data'!$D$1:$AE$373,MATCH('Question 3'!$S9,'Main Data'!$D$1:$D$373,0),MATCH('Question 3'!U$2,'Main Data'!$D$1:$AE$1,0))</f>
        <v>210.9</v>
      </c>
      <c r="V9" s="4">
        <f>INDEX('Main Data'!$D$1:$AE$373,MATCH('Question 3'!$S9,'Main Data'!$D$1:$D$373,0),MATCH('Question 3'!V$2,'Main Data'!$D$1:$AE$1,0))</f>
        <v>170.9</v>
      </c>
      <c r="W9" s="4">
        <f>INDEX('Main Data'!$D$1:$AE$373,MATCH('Question 3'!$S9,'Main Data'!$D$1:$D$373,0),MATCH('Question 3'!W$2,'Main Data'!$D$1:$AE$1,0))</f>
        <v>170.9</v>
      </c>
      <c r="X9" s="4">
        <f>INDEX('Main Data'!$D$1:$AE$373,MATCH('Question 3'!$S9,'Main Data'!$D$1:$D$373,0),MATCH('Question 3'!X$2,'Main Data'!$D$1:$AE$1,0))</f>
        <v>186.5</v>
      </c>
      <c r="Y9" s="4">
        <f>INDEX('Main Data'!$D$1:$AE$373,MATCH('Question 3'!$S9,'Main Data'!$D$1:$D$373,0),MATCH('Question 3'!Y$2,'Main Data'!$D$1:$AE$1,0))</f>
        <v>163.80000000000001</v>
      </c>
      <c r="Z9" s="4">
        <f>INDEX('Main Data'!$D$1:$AE$373,MATCH('Question 3'!$S9,'Main Data'!$D$1:$D$373,0),MATCH('Question 3'!Z$2,'Main Data'!$D$1:$AE$1,0))</f>
        <v>199.7</v>
      </c>
      <c r="AA9" s="4">
        <f>INDEX('Main Data'!$D$1:$AE$373,MATCH('Question 3'!$S9,'Main Data'!$D$1:$D$373,0),MATCH('Question 3'!AA$2,'Main Data'!$D$1:$AE$1,0))</f>
        <v>169.8</v>
      </c>
      <c r="AB9" s="4">
        <f>INDEX('Main Data'!$D$1:$AE$373,MATCH('Question 3'!$S9,'Main Data'!$D$1:$D$373,0),MATCH('Question 3'!AB$2,'Main Data'!$D$1:$AE$1,0))</f>
        <v>121.9</v>
      </c>
      <c r="AC9" s="4">
        <f>INDEX('Main Data'!$D$1:$AE$373,MATCH('Question 3'!$S9,'Main Data'!$D$1:$D$373,0),MATCH('Question 3'!AC$2,'Main Data'!$D$1:$AE$1,0))</f>
        <v>199.9</v>
      </c>
      <c r="AD9" s="4">
        <f>INDEX('Main Data'!$D$1:$AE$373,MATCH('Question 3'!$S9,'Main Data'!$D$1:$D$373,0),MATCH('Question 3'!AD$2,'Main Data'!$D$1:$AE$1,0))</f>
        <v>169.9</v>
      </c>
      <c r="AE9" s="4">
        <f>INDEX('Main Data'!$D$1:$AE$373,MATCH('Question 3'!$S9,'Main Data'!$D$1:$D$373,0),MATCH('Question 3'!AE$2,'Main Data'!$D$1:$AE$1,0))</f>
        <v>188.3</v>
      </c>
      <c r="AF9" s="4">
        <f t="shared" si="0"/>
        <v>2117.7000000000003</v>
      </c>
      <c r="AH9" s="29" t="s">
        <v>33</v>
      </c>
      <c r="AI9" s="4">
        <f t="shared" si="1"/>
        <v>182.3</v>
      </c>
      <c r="AJ9" s="4">
        <f t="shared" si="2"/>
        <v>161</v>
      </c>
      <c r="AK9" s="53">
        <f t="shared" si="3"/>
        <v>-11.684037301151953</v>
      </c>
    </row>
    <row r="10" spans="1:37" x14ac:dyDescent="0.25">
      <c r="S10" s="4" t="s">
        <v>80</v>
      </c>
      <c r="T10" s="4">
        <f>INDEX('Main Data'!$D$1:$AE$373,MATCH('Question 3'!$S10,'Main Data'!$D$1:$D$373,0),MATCH('Question 3'!T$2,'Main Data'!$D$1:$AE$1,0))</f>
        <v>167.4</v>
      </c>
      <c r="U10" s="4">
        <f>INDEX('Main Data'!$D$1:$AE$373,MATCH('Question 3'!$S10,'Main Data'!$D$1:$D$373,0),MATCH('Question 3'!U$2,'Main Data'!$D$1:$AE$1,0))</f>
        <v>209.4</v>
      </c>
      <c r="V10" s="4">
        <f>INDEX('Main Data'!$D$1:$AE$373,MATCH('Question 3'!$S10,'Main Data'!$D$1:$D$373,0),MATCH('Question 3'!V$2,'Main Data'!$D$1:$AE$1,0))</f>
        <v>181.4</v>
      </c>
      <c r="W10" s="4">
        <f>INDEX('Main Data'!$D$1:$AE$373,MATCH('Question 3'!$S10,'Main Data'!$D$1:$D$373,0),MATCH('Question 3'!W$2,'Main Data'!$D$1:$AE$1,0))</f>
        <v>172.3</v>
      </c>
      <c r="X10" s="4">
        <f>INDEX('Main Data'!$D$1:$AE$373,MATCH('Question 3'!$S10,'Main Data'!$D$1:$D$373,0),MATCH('Question 3'!X$2,'Main Data'!$D$1:$AE$1,0))</f>
        <v>188.9</v>
      </c>
      <c r="Y10" s="4">
        <f>INDEX('Main Data'!$D$1:$AE$373,MATCH('Question 3'!$S10,'Main Data'!$D$1:$D$373,0),MATCH('Question 3'!Y$2,'Main Data'!$D$1:$AE$1,0))</f>
        <v>160.69999999999999</v>
      </c>
      <c r="Z10" s="4">
        <f>INDEX('Main Data'!$D$1:$AE$373,MATCH('Question 3'!$S10,'Main Data'!$D$1:$D$373,0),MATCH('Question 3'!Z$2,'Main Data'!$D$1:$AE$1,0))</f>
        <v>183.1</v>
      </c>
      <c r="AA10" s="4">
        <f>INDEX('Main Data'!$D$1:$AE$373,MATCH('Question 3'!$S10,'Main Data'!$D$1:$D$373,0),MATCH('Question 3'!AA$2,'Main Data'!$D$1:$AE$1,0))</f>
        <v>170.5</v>
      </c>
      <c r="AB10" s="4">
        <f>INDEX('Main Data'!$D$1:$AE$373,MATCH('Question 3'!$S10,'Main Data'!$D$1:$D$373,0),MATCH('Question 3'!AB$2,'Main Data'!$D$1:$AE$1,0))</f>
        <v>122.1</v>
      </c>
      <c r="AC10" s="4">
        <f>INDEX('Main Data'!$D$1:$AE$373,MATCH('Question 3'!$S10,'Main Data'!$D$1:$D$373,0),MATCH('Question 3'!AC$2,'Main Data'!$D$1:$AE$1,0))</f>
        <v>202.8</v>
      </c>
      <c r="AD10" s="4">
        <f>INDEX('Main Data'!$D$1:$AE$373,MATCH('Question 3'!$S10,'Main Data'!$D$1:$D$373,0),MATCH('Question 3'!AD$2,'Main Data'!$D$1:$AE$1,0))</f>
        <v>170.4</v>
      </c>
      <c r="AE10" s="4">
        <f>INDEX('Main Data'!$D$1:$AE$373,MATCH('Question 3'!$S10,'Main Data'!$D$1:$D$373,0),MATCH('Question 3'!AE$2,'Main Data'!$D$1:$AE$1,0))</f>
        <v>189.5</v>
      </c>
      <c r="AF10" s="4">
        <f t="shared" si="0"/>
        <v>2118.5</v>
      </c>
      <c r="AH10" s="29" t="s">
        <v>34</v>
      </c>
      <c r="AI10" s="4">
        <f t="shared" si="1"/>
        <v>164.3</v>
      </c>
      <c r="AJ10" s="4">
        <f t="shared" si="2"/>
        <v>175.6</v>
      </c>
      <c r="AK10" s="53">
        <f t="shared" si="3"/>
        <v>6.8776628119293877</v>
      </c>
    </row>
    <row r="11" spans="1:37" x14ac:dyDescent="0.25">
      <c r="S11" s="4" t="s">
        <v>81</v>
      </c>
      <c r="T11" s="4">
        <f>INDEX('Main Data'!$D$1:$AE$373,MATCH('Question 3'!$S11,'Main Data'!$D$1:$D$373,0),MATCH('Question 3'!T$2,'Main Data'!$D$1:$AE$1,0))</f>
        <v>169.2</v>
      </c>
      <c r="U11" s="4">
        <f>INDEX('Main Data'!$D$1:$AE$373,MATCH('Question 3'!$S11,'Main Data'!$D$1:$D$373,0),MATCH('Question 3'!U$2,'Main Data'!$D$1:$AE$1,0))</f>
        <v>209</v>
      </c>
      <c r="V11" s="4">
        <f>INDEX('Main Data'!$D$1:$AE$373,MATCH('Question 3'!$S11,'Main Data'!$D$1:$D$373,0),MATCH('Question 3'!V$2,'Main Data'!$D$1:$AE$1,0))</f>
        <v>190.2</v>
      </c>
      <c r="W11" s="4">
        <f>INDEX('Main Data'!$D$1:$AE$373,MATCH('Question 3'!$S11,'Main Data'!$D$1:$D$373,0),MATCH('Question 3'!W$2,'Main Data'!$D$1:$AE$1,0))</f>
        <v>173.6</v>
      </c>
      <c r="X11" s="4">
        <f>INDEX('Main Data'!$D$1:$AE$373,MATCH('Question 3'!$S11,'Main Data'!$D$1:$D$373,0),MATCH('Question 3'!X$2,'Main Data'!$D$1:$AE$1,0))</f>
        <v>188.5</v>
      </c>
      <c r="Y11" s="4">
        <f>INDEX('Main Data'!$D$1:$AE$373,MATCH('Question 3'!$S11,'Main Data'!$D$1:$D$373,0),MATCH('Question 3'!Y$2,'Main Data'!$D$1:$AE$1,0))</f>
        <v>158</v>
      </c>
      <c r="Z11" s="4">
        <f>INDEX('Main Data'!$D$1:$AE$373,MATCH('Question 3'!$S11,'Main Data'!$D$1:$D$373,0),MATCH('Question 3'!Z$2,'Main Data'!$D$1:$AE$1,0))</f>
        <v>159.9</v>
      </c>
      <c r="AA11" s="4">
        <f>INDEX('Main Data'!$D$1:$AE$373,MATCH('Question 3'!$S11,'Main Data'!$D$1:$D$373,0),MATCH('Question 3'!AA$2,'Main Data'!$D$1:$AE$1,0))</f>
        <v>170.8</v>
      </c>
      <c r="AB11" s="4">
        <f>INDEX('Main Data'!$D$1:$AE$373,MATCH('Question 3'!$S11,'Main Data'!$D$1:$D$373,0),MATCH('Question 3'!AB$2,'Main Data'!$D$1:$AE$1,0))</f>
        <v>121.8</v>
      </c>
      <c r="AC11" s="4">
        <f>INDEX('Main Data'!$D$1:$AE$373,MATCH('Question 3'!$S11,'Main Data'!$D$1:$D$373,0),MATCH('Question 3'!AC$2,'Main Data'!$D$1:$AE$1,0))</f>
        <v>205.2</v>
      </c>
      <c r="AD11" s="4">
        <f>INDEX('Main Data'!$D$1:$AE$373,MATCH('Question 3'!$S11,'Main Data'!$D$1:$D$373,0),MATCH('Question 3'!AD$2,'Main Data'!$D$1:$AE$1,0))</f>
        <v>171</v>
      </c>
      <c r="AE11" s="4">
        <f>INDEX('Main Data'!$D$1:$AE$373,MATCH('Question 3'!$S11,'Main Data'!$D$1:$D$373,0),MATCH('Question 3'!AE$2,'Main Data'!$D$1:$AE$1,0))</f>
        <v>190.3</v>
      </c>
      <c r="AF11" s="4">
        <f t="shared" si="0"/>
        <v>2107.5</v>
      </c>
      <c r="AH11" s="29" t="s">
        <v>35</v>
      </c>
      <c r="AI11" s="4">
        <f t="shared" si="1"/>
        <v>119.9</v>
      </c>
      <c r="AJ11" s="4">
        <f t="shared" si="2"/>
        <v>122.7</v>
      </c>
      <c r="AK11" s="53">
        <f t="shared" si="3"/>
        <v>2.3352793994995804</v>
      </c>
    </row>
    <row r="12" spans="1:37" x14ac:dyDescent="0.25">
      <c r="A12" s="24"/>
      <c r="B12" s="24"/>
      <c r="C12" s="24"/>
      <c r="D12" s="24"/>
      <c r="E12" s="24"/>
      <c r="F12" s="24"/>
      <c r="G12" s="24"/>
      <c r="H12" s="24"/>
      <c r="I12" s="24"/>
      <c r="J12" s="24"/>
      <c r="S12" s="4" t="s">
        <v>82</v>
      </c>
      <c r="T12" s="4">
        <f>INDEX('Main Data'!$D$1:$AE$373,MATCH('Question 3'!$S12,'Main Data'!$D$1:$D$373,0),MATCH('Question 3'!T$2,'Main Data'!$D$1:$AE$1,0))</f>
        <v>173.8</v>
      </c>
      <c r="U12" s="4">
        <f>INDEX('Main Data'!$D$1:$AE$373,MATCH('Question 3'!$S12,'Main Data'!$D$1:$D$373,0),MATCH('Question 3'!U$2,'Main Data'!$D$1:$AE$1,0))</f>
        <v>210.7</v>
      </c>
      <c r="V12" s="4">
        <f>INDEX('Main Data'!$D$1:$AE$373,MATCH('Question 3'!$S12,'Main Data'!$D$1:$D$373,0),MATCH('Question 3'!V$2,'Main Data'!$D$1:$AE$1,0))</f>
        <v>194.5</v>
      </c>
      <c r="W12" s="4">
        <f>INDEX('Main Data'!$D$1:$AE$373,MATCH('Question 3'!$S12,'Main Data'!$D$1:$D$373,0),MATCH('Question 3'!W$2,'Main Data'!$D$1:$AE$1,0))</f>
        <v>174.6</v>
      </c>
      <c r="X12" s="4">
        <f>INDEX('Main Data'!$D$1:$AE$373,MATCH('Question 3'!$S12,'Main Data'!$D$1:$D$373,0),MATCH('Question 3'!X$2,'Main Data'!$D$1:$AE$1,0))</f>
        <v>187.2</v>
      </c>
      <c r="Y12" s="4">
        <f>INDEX('Main Data'!$D$1:$AE$373,MATCH('Question 3'!$S12,'Main Data'!$D$1:$D$373,0),MATCH('Question 3'!Y$2,'Main Data'!$D$1:$AE$1,0))</f>
        <v>158.30000000000001</v>
      </c>
      <c r="Z12" s="4">
        <f>INDEX('Main Data'!$D$1:$AE$373,MATCH('Question 3'!$S12,'Main Data'!$D$1:$D$373,0),MATCH('Question 3'!Z$2,'Main Data'!$D$1:$AE$1,0))</f>
        <v>153.9</v>
      </c>
      <c r="AA12" s="4">
        <f>INDEX('Main Data'!$D$1:$AE$373,MATCH('Question 3'!$S12,'Main Data'!$D$1:$D$373,0),MATCH('Question 3'!AA$2,'Main Data'!$D$1:$AE$1,0))</f>
        <v>170.9</v>
      </c>
      <c r="AB12" s="4">
        <f>INDEX('Main Data'!$D$1:$AE$373,MATCH('Question 3'!$S12,'Main Data'!$D$1:$D$373,0),MATCH('Question 3'!AB$2,'Main Data'!$D$1:$AE$1,0))</f>
        <v>121.1</v>
      </c>
      <c r="AC12" s="4">
        <f>INDEX('Main Data'!$D$1:$AE$373,MATCH('Question 3'!$S12,'Main Data'!$D$1:$D$373,0),MATCH('Question 3'!AC$2,'Main Data'!$D$1:$AE$1,0))</f>
        <v>208.4</v>
      </c>
      <c r="AD12" s="4">
        <f>INDEX('Main Data'!$D$1:$AE$373,MATCH('Question 3'!$S12,'Main Data'!$D$1:$D$373,0),MATCH('Question 3'!AD$2,'Main Data'!$D$1:$AE$1,0))</f>
        <v>171.4</v>
      </c>
      <c r="AE12" s="4">
        <f>INDEX('Main Data'!$D$1:$AE$373,MATCH('Question 3'!$S12,'Main Data'!$D$1:$D$373,0),MATCH('Question 3'!AE$2,'Main Data'!$D$1:$AE$1,0))</f>
        <v>191.2</v>
      </c>
      <c r="AF12" s="4">
        <f t="shared" si="0"/>
        <v>2116</v>
      </c>
      <c r="AH12" s="29" t="s">
        <v>36</v>
      </c>
      <c r="AI12" s="4">
        <f t="shared" si="1"/>
        <v>187.1</v>
      </c>
      <c r="AJ12" s="4">
        <f t="shared" si="2"/>
        <v>218</v>
      </c>
      <c r="AK12" s="53">
        <f t="shared" si="3"/>
        <v>16.515232495991452</v>
      </c>
    </row>
    <row r="13" spans="1:37" x14ac:dyDescent="0.25">
      <c r="A13" s="24"/>
      <c r="B13" s="24"/>
      <c r="C13" s="24"/>
      <c r="D13" s="24" t="s">
        <v>89</v>
      </c>
      <c r="E13" s="24"/>
      <c r="F13" s="24"/>
      <c r="G13" s="24" t="s">
        <v>90</v>
      </c>
      <c r="H13" s="24"/>
      <c r="I13" s="24"/>
      <c r="J13" s="24"/>
      <c r="S13" s="4" t="s">
        <v>83</v>
      </c>
      <c r="T13" s="4">
        <f>INDEX('Main Data'!$D$1:$AE$373,MATCH('Question 3'!$S13,'Main Data'!$D$1:$D$373,0),MATCH('Question 3'!T$2,'Main Data'!$D$1:$AE$1,0))</f>
        <v>174.4</v>
      </c>
      <c r="U13" s="4">
        <f>INDEX('Main Data'!$D$1:$AE$373,MATCH('Question 3'!$S13,'Main Data'!$D$1:$D$373,0),MATCH('Question 3'!U$2,'Main Data'!$D$1:$AE$1,0))</f>
        <v>207.7</v>
      </c>
      <c r="V13" s="4">
        <f>INDEX('Main Data'!$D$1:$AE$373,MATCH('Question 3'!$S13,'Main Data'!$D$1:$D$373,0),MATCH('Question 3'!V$2,'Main Data'!$D$1:$AE$1,0))</f>
        <v>175.2</v>
      </c>
      <c r="W13" s="4">
        <f>INDEX('Main Data'!$D$1:$AE$373,MATCH('Question 3'!$S13,'Main Data'!$D$1:$D$373,0),MATCH('Question 3'!W$2,'Main Data'!$D$1:$AE$1,0))</f>
        <v>177.3</v>
      </c>
      <c r="X13" s="4">
        <f>INDEX('Main Data'!$D$1:$AE$373,MATCH('Question 3'!$S13,'Main Data'!$D$1:$D$373,0),MATCH('Question 3'!X$2,'Main Data'!$D$1:$AE$1,0))</f>
        <v>179.3</v>
      </c>
      <c r="Y13" s="4">
        <f>INDEX('Main Data'!$D$1:$AE$373,MATCH('Question 3'!$S13,'Main Data'!$D$1:$D$373,0),MATCH('Question 3'!Y$2,'Main Data'!$D$1:$AE$1,0))</f>
        <v>169.5</v>
      </c>
      <c r="Z13" s="4">
        <f>INDEX('Main Data'!$D$1:$AE$373,MATCH('Question 3'!$S13,'Main Data'!$D$1:$D$373,0),MATCH('Question 3'!Z$2,'Main Data'!$D$1:$AE$1,0))</f>
        <v>152.69999999999999</v>
      </c>
      <c r="AA13" s="4">
        <f>INDEX('Main Data'!$D$1:$AE$373,MATCH('Question 3'!$S13,'Main Data'!$D$1:$D$373,0),MATCH('Question 3'!AA$2,'Main Data'!$D$1:$AE$1,0))</f>
        <v>171</v>
      </c>
      <c r="AB13" s="4">
        <f>INDEX('Main Data'!$D$1:$AE$373,MATCH('Question 3'!$S13,'Main Data'!$D$1:$D$373,0),MATCH('Question 3'!AB$2,'Main Data'!$D$1:$AE$1,0))</f>
        <v>120</v>
      </c>
      <c r="AC13" s="4">
        <f>INDEX('Main Data'!$D$1:$AE$373,MATCH('Question 3'!$S13,'Main Data'!$D$1:$D$373,0),MATCH('Question 3'!AC$2,'Main Data'!$D$1:$AE$1,0))</f>
        <v>209.7</v>
      </c>
      <c r="AD13" s="4">
        <f>INDEX('Main Data'!$D$1:$AE$373,MATCH('Question 3'!$S13,'Main Data'!$D$1:$D$373,0),MATCH('Question 3'!AD$2,'Main Data'!$D$1:$AE$1,0))</f>
        <v>172.3</v>
      </c>
      <c r="AE13" s="4">
        <f>INDEX('Main Data'!$D$1:$AE$373,MATCH('Question 3'!$S13,'Main Data'!$D$1:$D$373,0),MATCH('Question 3'!AE$2,'Main Data'!$D$1:$AE$1,0))</f>
        <v>193</v>
      </c>
      <c r="AF13" s="4">
        <f t="shared" si="0"/>
        <v>2102.1</v>
      </c>
      <c r="AH13" s="29" t="s">
        <v>38</v>
      </c>
      <c r="AI13" s="4">
        <f t="shared" si="1"/>
        <v>183.9</v>
      </c>
      <c r="AJ13" s="4">
        <f t="shared" si="2"/>
        <v>194.2</v>
      </c>
      <c r="AK13" s="53">
        <f>(AJ13-AI13)/AI13*100</f>
        <v>5.6008700380641558</v>
      </c>
    </row>
    <row r="14" spans="1:37" x14ac:dyDescent="0.25">
      <c r="A14" s="24"/>
      <c r="B14" s="24"/>
      <c r="C14" s="24"/>
      <c r="D14" s="24"/>
      <c r="E14" s="24"/>
      <c r="F14" s="24"/>
      <c r="G14" s="24"/>
      <c r="H14" s="24"/>
      <c r="I14" s="24"/>
      <c r="J14" s="24"/>
      <c r="S14" s="4" t="s">
        <v>84</v>
      </c>
      <c r="T14" s="4">
        <f>INDEX('Main Data'!$D$1:$AE$373,MATCH('Question 3'!$S14,'Main Data'!$D$1:$D$373,0),MATCH('Question 3'!T$2,'Main Data'!$D$1:$AE$1,0))</f>
        <v>174.4</v>
      </c>
      <c r="U14" s="4">
        <f>INDEX('Main Data'!$D$1:$AE$373,MATCH('Question 3'!$S14,'Main Data'!$D$1:$D$373,0),MATCH('Question 3'!U$2,'Main Data'!$D$1:$AE$1,0))</f>
        <v>207.7</v>
      </c>
      <c r="V14" s="4">
        <f>INDEX('Main Data'!$D$1:$AE$373,MATCH('Question 3'!$S14,'Main Data'!$D$1:$D$373,0),MATCH('Question 3'!V$2,'Main Data'!$D$1:$AE$1,0))</f>
        <v>175.2</v>
      </c>
      <c r="W14" s="4">
        <f>INDEX('Main Data'!$D$1:$AE$373,MATCH('Question 3'!$S14,'Main Data'!$D$1:$D$373,0),MATCH('Question 3'!W$2,'Main Data'!$D$1:$AE$1,0))</f>
        <v>177.3</v>
      </c>
      <c r="X14" s="4">
        <f>INDEX('Main Data'!$D$1:$AE$373,MATCH('Question 3'!$S14,'Main Data'!$D$1:$D$373,0),MATCH('Question 3'!X$2,'Main Data'!$D$1:$AE$1,0))</f>
        <v>179.2</v>
      </c>
      <c r="Y14" s="4">
        <f>INDEX('Main Data'!$D$1:$AE$373,MATCH('Question 3'!$S14,'Main Data'!$D$1:$D$373,0),MATCH('Question 3'!Y$2,'Main Data'!$D$1:$AE$1,0))</f>
        <v>169.5</v>
      </c>
      <c r="Z14" s="4">
        <f>INDEX('Main Data'!$D$1:$AE$373,MATCH('Question 3'!$S14,'Main Data'!$D$1:$D$373,0),MATCH('Question 3'!Z$2,'Main Data'!$D$1:$AE$1,0))</f>
        <v>152.80000000000001</v>
      </c>
      <c r="AA14" s="4">
        <f>INDEX('Main Data'!$D$1:$AE$373,MATCH('Question 3'!$S14,'Main Data'!$D$1:$D$373,0),MATCH('Question 3'!AA$2,'Main Data'!$D$1:$AE$1,0))</f>
        <v>171.1</v>
      </c>
      <c r="AB14" s="4">
        <f>INDEX('Main Data'!$D$1:$AE$373,MATCH('Question 3'!$S14,'Main Data'!$D$1:$D$373,0),MATCH('Question 3'!AB$2,'Main Data'!$D$1:$AE$1,0))</f>
        <v>120</v>
      </c>
      <c r="AC14" s="4">
        <f>INDEX('Main Data'!$D$1:$AE$373,MATCH('Question 3'!$S14,'Main Data'!$D$1:$D$373,0),MATCH('Question 3'!AC$2,'Main Data'!$D$1:$AE$1,0))</f>
        <v>209.7</v>
      </c>
      <c r="AD14" s="4">
        <f>INDEX('Main Data'!$D$1:$AE$373,MATCH('Question 3'!$S14,'Main Data'!$D$1:$D$373,0),MATCH('Question 3'!AD$2,'Main Data'!$D$1:$AE$1,0))</f>
        <v>172.3</v>
      </c>
      <c r="AE14" s="4">
        <f>INDEX('Main Data'!$D$1:$AE$373,MATCH('Question 3'!$S14,'Main Data'!$D$1:$D$373,0),MATCH('Question 3'!AE$2,'Main Data'!$D$1:$AE$1,0))</f>
        <v>193</v>
      </c>
      <c r="AF14" s="4">
        <f t="shared" si="0"/>
        <v>2102.1999999999998</v>
      </c>
    </row>
    <row r="15" spans="1:37" x14ac:dyDescent="0.25">
      <c r="S15" s="4" t="s">
        <v>85</v>
      </c>
      <c r="T15" s="4">
        <f>INDEX('Main Data'!$D$1:$AE$373,MATCH('Question 3'!$S15,'Main Data'!$D$1:$D$373,0),MATCH('Question 3'!T$2,'Main Data'!$D$1:$AE$1,0))</f>
        <v>173.8</v>
      </c>
      <c r="U15" s="4">
        <f>INDEX('Main Data'!$D$1:$AE$373,MATCH('Question 3'!$S15,'Main Data'!$D$1:$D$373,0),MATCH('Question 3'!U$2,'Main Data'!$D$1:$AE$1,0))</f>
        <v>209.3</v>
      </c>
      <c r="V15" s="4">
        <f>INDEX('Main Data'!$D$1:$AE$373,MATCH('Question 3'!$S15,'Main Data'!$D$1:$D$373,0),MATCH('Question 3'!V$2,'Main Data'!$D$1:$AE$1,0))</f>
        <v>169.6</v>
      </c>
      <c r="W15" s="4">
        <f>INDEX('Main Data'!$D$1:$AE$373,MATCH('Question 3'!$S15,'Main Data'!$D$1:$D$373,0),MATCH('Question 3'!W$2,'Main Data'!$D$1:$AE$1,0))</f>
        <v>178.4</v>
      </c>
      <c r="X15" s="4">
        <f>INDEX('Main Data'!$D$1:$AE$373,MATCH('Question 3'!$S15,'Main Data'!$D$1:$D$373,0),MATCH('Question 3'!X$2,'Main Data'!$D$1:$AE$1,0))</f>
        <v>174.9</v>
      </c>
      <c r="Y15" s="4">
        <f>INDEX('Main Data'!$D$1:$AE$373,MATCH('Question 3'!$S15,'Main Data'!$D$1:$D$373,0),MATCH('Question 3'!Y$2,'Main Data'!$D$1:$AE$1,0))</f>
        <v>176.3</v>
      </c>
      <c r="Z15" s="4">
        <f>INDEX('Main Data'!$D$1:$AE$373,MATCH('Question 3'!$S15,'Main Data'!$D$1:$D$373,0),MATCH('Question 3'!Z$2,'Main Data'!$D$1:$AE$1,0))</f>
        <v>155.4</v>
      </c>
      <c r="AA15" s="4">
        <f>INDEX('Main Data'!$D$1:$AE$373,MATCH('Question 3'!$S15,'Main Data'!$D$1:$D$373,0),MATCH('Question 3'!AA$2,'Main Data'!$D$1:$AE$1,0))</f>
        <v>173.4</v>
      </c>
      <c r="AB15" s="4">
        <f>INDEX('Main Data'!$D$1:$AE$373,MATCH('Question 3'!$S15,'Main Data'!$D$1:$D$373,0),MATCH('Question 3'!AB$2,'Main Data'!$D$1:$AE$1,0))</f>
        <v>121.3</v>
      </c>
      <c r="AC15" s="4">
        <f>INDEX('Main Data'!$D$1:$AE$373,MATCH('Question 3'!$S15,'Main Data'!$D$1:$D$373,0),MATCH('Question 3'!AC$2,'Main Data'!$D$1:$AE$1,0))</f>
        <v>212.9</v>
      </c>
      <c r="AD15" s="4">
        <f>INDEX('Main Data'!$D$1:$AE$373,MATCH('Question 3'!$S15,'Main Data'!$D$1:$D$373,0),MATCH('Question 3'!AD$2,'Main Data'!$D$1:$AE$1,0))</f>
        <v>172.9</v>
      </c>
      <c r="AE15" s="4">
        <f>INDEX('Main Data'!$D$1:$AE$373,MATCH('Question 3'!$S15,'Main Data'!$D$1:$D$373,0),MATCH('Question 3'!AE$2,'Main Data'!$D$1:$AE$1,0))</f>
        <v>193.5</v>
      </c>
      <c r="AF15" s="4">
        <f t="shared" si="0"/>
        <v>2111.7000000000003</v>
      </c>
    </row>
    <row r="16" spans="1:37" x14ac:dyDescent="0.25">
      <c r="S16" s="4" t="s">
        <v>86</v>
      </c>
      <c r="T16" s="4">
        <f>INDEX('Main Data'!$D$1:$AE$373,MATCH('Question 3'!$S16,'Main Data'!$D$1:$D$373,0),MATCH('Question 3'!T$2,'Main Data'!$D$1:$AE$1,0))</f>
        <v>173.7</v>
      </c>
      <c r="U16" s="4">
        <f>INDEX('Main Data'!$D$1:$AE$373,MATCH('Question 3'!$S16,'Main Data'!$D$1:$D$373,0),MATCH('Question 3'!U$2,'Main Data'!$D$1:$AE$1,0))</f>
        <v>214.3</v>
      </c>
      <c r="V16" s="4">
        <f>INDEX('Main Data'!$D$1:$AE$373,MATCH('Question 3'!$S16,'Main Data'!$D$1:$D$373,0),MATCH('Question 3'!V$2,'Main Data'!$D$1:$AE$1,0))</f>
        <v>173.2</v>
      </c>
      <c r="W16" s="4">
        <f>INDEX('Main Data'!$D$1:$AE$373,MATCH('Question 3'!$S16,'Main Data'!$D$1:$D$373,0),MATCH('Question 3'!W$2,'Main Data'!$D$1:$AE$1,0))</f>
        <v>179.5</v>
      </c>
      <c r="X16" s="4">
        <f>INDEX('Main Data'!$D$1:$AE$373,MATCH('Question 3'!$S16,'Main Data'!$D$1:$D$373,0),MATCH('Question 3'!X$2,'Main Data'!$D$1:$AE$1,0))</f>
        <v>170</v>
      </c>
      <c r="Y16" s="4">
        <f>INDEX('Main Data'!$D$1:$AE$373,MATCH('Question 3'!$S16,'Main Data'!$D$1:$D$373,0),MATCH('Question 3'!Y$2,'Main Data'!$D$1:$AE$1,0))</f>
        <v>172.2</v>
      </c>
      <c r="Z16" s="4">
        <f>INDEX('Main Data'!$D$1:$AE$373,MATCH('Question 3'!$S16,'Main Data'!$D$1:$D$373,0),MATCH('Question 3'!Z$2,'Main Data'!$D$1:$AE$1,0))</f>
        <v>161</v>
      </c>
      <c r="AA16" s="4">
        <f>INDEX('Main Data'!$D$1:$AE$373,MATCH('Question 3'!$S16,'Main Data'!$D$1:$D$373,0),MATCH('Question 3'!AA$2,'Main Data'!$D$1:$AE$1,0))</f>
        <v>175.6</v>
      </c>
      <c r="AB16" s="4">
        <f>INDEX('Main Data'!$D$1:$AE$373,MATCH('Question 3'!$S16,'Main Data'!$D$1:$D$373,0),MATCH('Question 3'!AB$2,'Main Data'!$D$1:$AE$1,0))</f>
        <v>122.7</v>
      </c>
      <c r="AC16" s="4">
        <f>INDEX('Main Data'!$D$1:$AE$373,MATCH('Question 3'!$S16,'Main Data'!$D$1:$D$373,0),MATCH('Question 3'!AC$2,'Main Data'!$D$1:$AE$1,0))</f>
        <v>218</v>
      </c>
      <c r="AD16" s="4">
        <f>INDEX('Main Data'!$D$1:$AE$373,MATCH('Question 3'!$S16,'Main Data'!$D$1:$D$373,0),MATCH('Question 3'!AD$2,'Main Data'!$D$1:$AE$1,0))</f>
        <v>173.4</v>
      </c>
      <c r="AE16" s="4">
        <f>INDEX('Main Data'!$D$1:$AE$373,MATCH('Question 3'!$S16,'Main Data'!$D$1:$D$373,0),MATCH('Question 3'!AE$2,'Main Data'!$D$1:$AE$1,0))</f>
        <v>194.2</v>
      </c>
      <c r="AF16" s="4">
        <f t="shared" si="0"/>
        <v>2127.8000000000002</v>
      </c>
    </row>
    <row r="17" spans="19:32" x14ac:dyDescent="0.25">
      <c r="AF17" s="4">
        <f t="shared" si="0"/>
        <v>0</v>
      </c>
    </row>
    <row r="19" spans="19:32" x14ac:dyDescent="0.25">
      <c r="S19" s="21" t="s">
        <v>74</v>
      </c>
      <c r="T19" s="21" t="s">
        <v>88</v>
      </c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9:32" x14ac:dyDescent="0.25">
      <c r="S20" s="56">
        <v>44682</v>
      </c>
      <c r="T20" s="23">
        <f>((AF4-AF3)/AF3)*100</f>
        <v>1.0814778566185532</v>
      </c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</row>
    <row r="21" spans="19:32" x14ac:dyDescent="0.25">
      <c r="S21" t="s">
        <v>17</v>
      </c>
      <c r="T21" s="23">
        <f t="shared" ref="T21:T32" si="4">((AF5-AF4)/AF4)*100</f>
        <v>1.036018590240106</v>
      </c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</row>
    <row r="22" spans="19:32" x14ac:dyDescent="0.25">
      <c r="S22" t="s">
        <v>18</v>
      </c>
      <c r="T22" s="23">
        <f t="shared" si="4"/>
        <v>0.20603737422137913</v>
      </c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</row>
    <row r="23" spans="19:32" x14ac:dyDescent="0.25">
      <c r="S23" t="s">
        <v>19</v>
      </c>
      <c r="T23" s="23">
        <f t="shared" si="4"/>
        <v>7.6507435566389753E-2</v>
      </c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</row>
    <row r="24" spans="19:32" x14ac:dyDescent="0.25">
      <c r="S24" t="s">
        <v>20</v>
      </c>
      <c r="T24" s="23">
        <f t="shared" si="4"/>
        <v>0.48736203354196656</v>
      </c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</row>
    <row r="25" spans="19:32" x14ac:dyDescent="0.25">
      <c r="S25" t="s">
        <v>21</v>
      </c>
      <c r="T25" s="23">
        <f t="shared" si="4"/>
        <v>0.694213304170052</v>
      </c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</row>
    <row r="26" spans="19:32" x14ac:dyDescent="0.25">
      <c r="S26" t="s">
        <v>23</v>
      </c>
      <c r="T26" s="23">
        <f t="shared" si="4"/>
        <v>3.7776833356930967E-2</v>
      </c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</row>
    <row r="27" spans="19:32" x14ac:dyDescent="0.25">
      <c r="S27" t="s">
        <v>24</v>
      </c>
      <c r="T27" s="23">
        <f t="shared" si="4"/>
        <v>-0.51923530800094397</v>
      </c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</row>
    <row r="28" spans="19:32" x14ac:dyDescent="0.25">
      <c r="S28" t="s">
        <v>10</v>
      </c>
      <c r="T28" s="23">
        <f t="shared" si="4"/>
        <v>0.40332147093712928</v>
      </c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</row>
    <row r="29" spans="19:32" x14ac:dyDescent="0.25">
      <c r="S29" t="s">
        <v>13</v>
      </c>
      <c r="T29" s="23">
        <f t="shared" si="4"/>
        <v>-0.65689981096408745</v>
      </c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</row>
    <row r="30" spans="19:32" x14ac:dyDescent="0.25">
      <c r="S30" t="s">
        <v>15</v>
      </c>
      <c r="T30" s="66">
        <f t="shared" si="4"/>
        <v>4.7571476142861452E-3</v>
      </c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</row>
    <row r="31" spans="19:32" x14ac:dyDescent="0.25">
      <c r="S31" t="s">
        <v>16</v>
      </c>
      <c r="T31" s="23">
        <f t="shared" si="4"/>
        <v>0.45190752544955071</v>
      </c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</row>
    <row r="32" spans="19:32" x14ac:dyDescent="0.25">
      <c r="S32" t="s">
        <v>14</v>
      </c>
      <c r="T32" s="23">
        <f t="shared" si="4"/>
        <v>0.76241890420040281</v>
      </c>
    </row>
  </sheetData>
  <phoneticPr fontId="20" type="noConversion"/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67F58-C5FF-4654-B816-CE6D12835B1A}">
  <dimension ref="AJ1:BO52"/>
  <sheetViews>
    <sheetView showGridLines="0" topLeftCell="AE1" zoomScale="84" zoomScaleNormal="130" workbookViewId="0">
      <selection activeCell="AZ8" sqref="AZ8"/>
    </sheetView>
  </sheetViews>
  <sheetFormatPr defaultRowHeight="15" x14ac:dyDescent="0.25"/>
  <cols>
    <col min="36" max="36" width="9.140625" style="30"/>
    <col min="52" max="52" width="74" bestFit="1" customWidth="1"/>
    <col min="54" max="54" width="33.28515625" bestFit="1" customWidth="1"/>
    <col min="55" max="55" width="19" bestFit="1" customWidth="1"/>
    <col min="56" max="56" width="26.5703125" bestFit="1" customWidth="1"/>
    <col min="57" max="57" width="21" bestFit="1" customWidth="1"/>
    <col min="58" max="59" width="28.140625" bestFit="1" customWidth="1"/>
    <col min="60" max="60" width="13.85546875" bestFit="1" customWidth="1"/>
    <col min="64" max="64" width="28.140625" bestFit="1" customWidth="1"/>
  </cols>
  <sheetData>
    <row r="1" spans="41:67" x14ac:dyDescent="0.25">
      <c r="AP1" t="s">
        <v>93</v>
      </c>
      <c r="AV1" t="s">
        <v>95</v>
      </c>
      <c r="BB1" s="21" t="s">
        <v>106</v>
      </c>
      <c r="BG1" s="21" t="s">
        <v>110</v>
      </c>
      <c r="BL1" s="21" t="s">
        <v>114</v>
      </c>
    </row>
    <row r="2" spans="41:67" x14ac:dyDescent="0.25">
      <c r="AP2" s="27" t="s">
        <v>92</v>
      </c>
      <c r="AQ2" s="26" t="s">
        <v>15</v>
      </c>
      <c r="AR2" s="26" t="s">
        <v>13</v>
      </c>
      <c r="AS2" s="25" t="s">
        <v>62</v>
      </c>
      <c r="AV2" s="27" t="s">
        <v>92</v>
      </c>
      <c r="AW2" s="25" t="s">
        <v>16</v>
      </c>
      <c r="AX2" s="25" t="s">
        <v>15</v>
      </c>
      <c r="AY2" s="25" t="s">
        <v>62</v>
      </c>
      <c r="BB2" s="58" t="s">
        <v>105</v>
      </c>
      <c r="BC2" s="58" t="s">
        <v>15</v>
      </c>
      <c r="BD2" s="58" t="s">
        <v>13</v>
      </c>
      <c r="BE2" s="58" t="s">
        <v>62</v>
      </c>
      <c r="BF2" s="37"/>
      <c r="BG2" s="58" t="s">
        <v>105</v>
      </c>
      <c r="BH2" s="58" t="s">
        <v>15</v>
      </c>
      <c r="BI2" s="58" t="s">
        <v>13</v>
      </c>
      <c r="BJ2" s="58" t="s">
        <v>62</v>
      </c>
      <c r="BL2" s="58" t="s">
        <v>105</v>
      </c>
      <c r="BM2" s="58" t="s">
        <v>15</v>
      </c>
      <c r="BN2" s="58" t="s">
        <v>13</v>
      </c>
      <c r="BO2" s="58" t="s">
        <v>62</v>
      </c>
    </row>
    <row r="3" spans="41:67" x14ac:dyDescent="0.25">
      <c r="AP3" s="27">
        <v>2018</v>
      </c>
      <c r="AQ3" s="4">
        <f>VLOOKUP($AP3&amp;AQ$2&amp;"Rural",'Main Data'!$D$1:$AE$373,28,0)</f>
        <v>138.69999999999999</v>
      </c>
      <c r="AR3" s="4">
        <f>VLOOKUP(($AP3+1)&amp;AR$2&amp;"Rural",'Main Data'!$D$1:$AE$373,28,0)</f>
        <v>141</v>
      </c>
      <c r="AS3" s="4">
        <f>(AR3-AQ3)/AR3</f>
        <v>1.6312056737588732E-2</v>
      </c>
      <c r="AV3" s="27">
        <v>2020</v>
      </c>
      <c r="AW3" s="28">
        <f>VLOOKUP($AV3&amp;"March"&amp;"Rural",'Main Data'!$D$1:$AE$373,28,0)</f>
        <v>149.80000000000001</v>
      </c>
      <c r="AX3" s="4">
        <f>VLOOKUP(($AV3+1)&amp;AX$2&amp;"Rural",'Main Data'!$D$1:$AE$373,28,0)</f>
        <v>156.69999999999999</v>
      </c>
      <c r="AY3" s="4">
        <f>(AX3-AW3)/AX3</f>
        <v>4.4033184428844782E-2</v>
      </c>
      <c r="AZ3" t="s">
        <v>94</v>
      </c>
      <c r="BB3" s="4" t="s">
        <v>3</v>
      </c>
      <c r="BC3" s="4">
        <f>INDEX('Main Data'!$D$1:$AE$373,MATCH(2018&amp;'Question 4'!BC$2&amp;"Rural",'Main Data'!$D$1:$D$373,0),MATCH('Question 4'!$BB3,'Main Data'!$D$1:$AE$1,0))</f>
        <v>138.6</v>
      </c>
      <c r="BD3" s="4">
        <f>INDEX('Main Data'!$D$1:$AE$373,MATCH(2019&amp;'Question 4'!BD$2&amp;"Rural",'Main Data'!$D$1:$D$373,0),MATCH('Question 4'!$BB3,'Main Data'!$D$1:$AE$1,0))</f>
        <v>137.19999999999999</v>
      </c>
      <c r="BE3" s="35">
        <f>(BD3-BC3)/BC3</f>
        <v>-1.0101010101010142E-2</v>
      </c>
      <c r="BG3" s="4" t="s">
        <v>3</v>
      </c>
      <c r="BH3" s="4">
        <f>INDEX('Main Data'!$D$1:$AE$373,MATCH(2018&amp;'Question 4'!BH$2&amp;"Urban",'Main Data'!$D$1:$D$373,0),MATCH('Question 4'!$BB3,'Main Data'!$D$1:$AE$1,0))</f>
        <v>134.80000000000001</v>
      </c>
      <c r="BI3" s="4">
        <f>INDEX('Main Data'!$D$1:$AE$373,MATCH(2019&amp;'Question 4'!BI$2&amp;"Urban",'Main Data'!$D$1:$D$373,0),MATCH('Question 4'!$BB3,'Main Data'!$D$1:$AE$1,0))</f>
        <v>138</v>
      </c>
      <c r="BJ3" s="35">
        <f>(BI3-BH3)/BH3</f>
        <v>2.3738872403560745E-2</v>
      </c>
      <c r="BL3" s="4" t="s">
        <v>3</v>
      </c>
      <c r="BM3" s="4">
        <f>INDEX('Main Data'!$D$1:$AE$373,MATCH(2018&amp;'Question 4'!BM$2&amp;"Rural+Urban",'Main Data'!$D$1:$D$373,0),MATCH('Question 4'!$BB3,'Main Data'!$D$1:$AE$1,0))</f>
        <v>137.19999999999999</v>
      </c>
      <c r="BN3" s="4">
        <f>INDEX('Main Data'!$D$1:$AE$373,MATCH(2019&amp;'Question 4'!BN$2&amp;"Rural+Urban",'Main Data'!$D$1:$D$373,0),MATCH('Question 4'!$BB3,'Main Data'!$D$1:$AE$1,0))</f>
        <v>137.5</v>
      </c>
      <c r="BO3" s="35">
        <f>(BN3-BM3)/BM3</f>
        <v>2.1865889212828817E-3</v>
      </c>
    </row>
    <row r="4" spans="41:67" x14ac:dyDescent="0.25">
      <c r="AP4" s="27">
        <v>2019</v>
      </c>
      <c r="AQ4" s="4">
        <f>VLOOKUP($AP4&amp;AQ$2&amp;"Rural",'Main Data'!$D$1:$AE$373,28,0)</f>
        <v>141.19999999999999</v>
      </c>
      <c r="AR4" s="4">
        <f>VLOOKUP(($AP4+1)&amp;AR$2&amp;"Rural",'Main Data'!$D$1:$AE$373,28,0)</f>
        <v>150.4</v>
      </c>
      <c r="AS4" s="4">
        <f>(AR4-AQ4)/AR4</f>
        <v>6.1170212765957556E-2</v>
      </c>
      <c r="AV4" s="27">
        <v>2021</v>
      </c>
      <c r="AW4" s="4">
        <f>VLOOKUP($AV4&amp;AW$2&amp;"Rural",'Main Data'!$D$1:$AE$373,28,0)</f>
        <v>157.6</v>
      </c>
      <c r="AX4" s="4">
        <f>VLOOKUP(($AV4+1)&amp;AX$2&amp;"Rural",'Main Data'!$D$1:$AE$373,28,0)</f>
        <v>168.7</v>
      </c>
      <c r="AY4" s="4">
        <f>(AX4-AW4)/AX4</f>
        <v>6.5797273266152909E-2</v>
      </c>
      <c r="BB4" s="4" t="s">
        <v>4</v>
      </c>
      <c r="BC4" s="4">
        <f>INDEX('Main Data'!$D$1:$AE$373,MATCH(2018&amp;'Question 4'!BC$2&amp;"Rural",'Main Data'!$D$1:$D$373,0),MATCH('Question 4'!$BB4,'Main Data'!$D$1:$AE$1,0))</f>
        <v>155.1</v>
      </c>
      <c r="BD4" s="4">
        <f>INDEX('Main Data'!$D$1:$AE$373,MATCH(2019&amp;'Question 4'!BD$2&amp;"Rural",'Main Data'!$D$1:$D$373,0),MATCH('Question 4'!$BB4,'Main Data'!$D$1:$AE$1,0))</f>
        <v>162.80000000000001</v>
      </c>
      <c r="BE4" s="35">
        <f t="shared" ref="BE4:BE8" si="0">(BD4-BC4)/BC4</f>
        <v>4.9645390070922099E-2</v>
      </c>
      <c r="BG4" s="4" t="s">
        <v>4</v>
      </c>
      <c r="BH4" s="4">
        <f>INDEX('Main Data'!$D$1:$AE$373,MATCH(2018&amp;'Question 4'!BH$2&amp;"Urban",'Main Data'!$D$1:$D$373,0),MATCH('Question 4'!$BB4,'Main Data'!$D$1:$AE$1,0))</f>
        <v>159.69999999999999</v>
      </c>
      <c r="BI4" s="4">
        <f>INDEX('Main Data'!$D$1:$AE$373,MATCH(2019&amp;'Question 4'!BI$2&amp;"Urban",'Main Data'!$D$1:$D$373,0),MATCH('Question 4'!$BB4,'Main Data'!$D$1:$AE$1,0))</f>
        <v>164.9</v>
      </c>
      <c r="BJ4" s="35">
        <f t="shared" ref="BJ4:BJ8" si="1">(BI4-BH4)/BH4</f>
        <v>3.2561051972448449E-2</v>
      </c>
      <c r="BL4" s="4" t="s">
        <v>4</v>
      </c>
      <c r="BM4" s="4">
        <f>INDEX('Main Data'!$D$1:$AE$373,MATCH(2018&amp;'Question 4'!BM$2&amp;"Rural+Urban",'Main Data'!$D$1:$D$373,0),MATCH('Question 4'!$BB4,'Main Data'!$D$1:$AE$1,0))</f>
        <v>156.30000000000001</v>
      </c>
      <c r="BN4" s="4">
        <f>INDEX('Main Data'!$D$1:$AE$373,MATCH(2019&amp;'Question 4'!BN$2&amp;"Rural+Urban",'Main Data'!$D$1:$D$373,0),MATCH('Question 4'!$BB4,'Main Data'!$D$1:$AE$1,0))</f>
        <v>163.4</v>
      </c>
      <c r="BO4" s="35">
        <f t="shared" ref="BO4:BO8" si="2">(BN4-BM4)/BM4</f>
        <v>4.5425463851567462E-2</v>
      </c>
    </row>
    <row r="5" spans="41:67" x14ac:dyDescent="0.25">
      <c r="BB5" s="4" t="s">
        <v>5</v>
      </c>
      <c r="BC5" s="4">
        <f>INDEX('Main Data'!$D$1:$AE$373,MATCH(2018&amp;'Question 4'!BC$2&amp;"Rural",'Main Data'!$D$1:$D$373,0),MATCH('Question 4'!$BB5,'Main Data'!$D$1:$AE$1,0))</f>
        <v>148.30000000000001</v>
      </c>
      <c r="BD5" s="4">
        <f>INDEX('Main Data'!$D$1:$AE$373,MATCH(2019&amp;'Question 4'!BD$2&amp;"Rural",'Main Data'!$D$1:$D$373,0),MATCH('Question 4'!$BB5,'Main Data'!$D$1:$AE$1,0))</f>
        <v>149.9</v>
      </c>
      <c r="BE5" s="35">
        <f t="shared" si="0"/>
        <v>1.0788941335131452E-2</v>
      </c>
      <c r="BG5" s="4" t="s">
        <v>5</v>
      </c>
      <c r="BH5" s="4">
        <f>INDEX('Main Data'!$D$1:$AE$373,MATCH(2018&amp;'Question 4'!BH$2&amp;"Urban",'Main Data'!$D$1:$D$373,0),MATCH('Question 4'!$BB5,'Main Data'!$D$1:$AE$1,0))</f>
        <v>135.19999999999999</v>
      </c>
      <c r="BI5" s="4">
        <f>INDEX('Main Data'!$D$1:$AE$373,MATCH(2019&amp;'Question 4'!BI$2&amp;"Urban",'Main Data'!$D$1:$D$373,0),MATCH('Question 4'!$BB5,'Main Data'!$D$1:$AE$1,0))</f>
        <v>141.4</v>
      </c>
      <c r="BJ5" s="35">
        <f t="shared" si="1"/>
        <v>4.5857988165680603E-2</v>
      </c>
      <c r="BL5" s="4" t="s">
        <v>5</v>
      </c>
      <c r="BM5" s="4">
        <f>INDEX('Main Data'!$D$1:$AE$373,MATCH(2018&amp;'Question 4'!BM$2&amp;"Rural+Urban",'Main Data'!$D$1:$D$373,0),MATCH('Question 4'!$BB5,'Main Data'!$D$1:$AE$1,0))</f>
        <v>143.1</v>
      </c>
      <c r="BN5" s="4">
        <f>INDEX('Main Data'!$D$1:$AE$373,MATCH(2019&amp;'Question 4'!BN$2&amp;"Rural+Urban",'Main Data'!$D$1:$D$373,0),MATCH('Question 4'!$BB5,'Main Data'!$D$1:$AE$1,0))</f>
        <v>146.5</v>
      </c>
      <c r="BO5" s="35">
        <f t="shared" si="2"/>
        <v>2.3759608665269084E-2</v>
      </c>
    </row>
    <row r="6" spans="41:67" x14ac:dyDescent="0.25">
      <c r="AP6" t="s">
        <v>96</v>
      </c>
      <c r="AV6" t="s">
        <v>97</v>
      </c>
      <c r="BB6" s="4" t="s">
        <v>6</v>
      </c>
      <c r="BC6" s="4">
        <f>INDEX('Main Data'!$D$1:$AE$373,MATCH(2018&amp;'Question 4'!BC$2&amp;"Rural",'Main Data'!$D$1:$D$373,0),MATCH('Question 4'!$BB6,'Main Data'!$D$1:$AE$1,0))</f>
        <v>139.9</v>
      </c>
      <c r="BD6" s="4">
        <f>INDEX('Main Data'!$D$1:$AE$373,MATCH(2019&amp;'Question 4'!BD$2&amp;"Rural",'Main Data'!$D$1:$D$373,0),MATCH('Question 4'!$BB6,'Main Data'!$D$1:$AE$1,0))</f>
        <v>150.1</v>
      </c>
      <c r="BE6" s="35">
        <f t="shared" si="0"/>
        <v>7.2909220872051386E-2</v>
      </c>
      <c r="BG6" s="4" t="s">
        <v>6</v>
      </c>
      <c r="BH6" s="4">
        <f>INDEX('Main Data'!$D$1:$AE$373,MATCH(2018&amp;'Question 4'!BH$2&amp;"Urban",'Main Data'!$D$1:$D$373,0),MATCH('Question 4'!$BB6,'Main Data'!$D$1:$AE$1,0))</f>
        <v>130.80000000000001</v>
      </c>
      <c r="BI6" s="4">
        <f>INDEX('Main Data'!$D$1:$AE$373,MATCH(2019&amp;'Question 4'!BI$2&amp;"Urban",'Main Data'!$D$1:$D$373,0),MATCH('Question 4'!$BB6,'Main Data'!$D$1:$AE$1,0))</f>
        <v>136.6</v>
      </c>
      <c r="BJ6" s="35">
        <f t="shared" si="1"/>
        <v>4.4342507645259807E-2</v>
      </c>
      <c r="BL6" s="4" t="s">
        <v>6</v>
      </c>
      <c r="BM6" s="4">
        <f>INDEX('Main Data'!$D$1:$AE$373,MATCH(2018&amp;'Question 4'!BM$2&amp;"Rural+Urban",'Main Data'!$D$1:$D$373,0),MATCH('Question 4'!$BB6,'Main Data'!$D$1:$AE$1,0))</f>
        <v>135.6</v>
      </c>
      <c r="BN6" s="4">
        <f>INDEX('Main Data'!$D$1:$AE$373,MATCH(2019&amp;'Question 4'!BN$2&amp;"Rural+Urban",'Main Data'!$D$1:$D$373,0),MATCH('Question 4'!$BB6,'Main Data'!$D$1:$AE$1,0))</f>
        <v>143.69999999999999</v>
      </c>
      <c r="BO6" s="35">
        <f t="shared" si="2"/>
        <v>5.9734513274336244E-2</v>
      </c>
    </row>
    <row r="7" spans="41:67" x14ac:dyDescent="0.25">
      <c r="AP7" s="27" t="s">
        <v>92</v>
      </c>
      <c r="AQ7" s="26" t="s">
        <v>15</v>
      </c>
      <c r="AR7" s="26" t="s">
        <v>13</v>
      </c>
      <c r="AS7" s="25" t="s">
        <v>62</v>
      </c>
      <c r="AV7" s="27" t="s">
        <v>92</v>
      </c>
      <c r="AW7" s="25" t="s">
        <v>16</v>
      </c>
      <c r="AX7" s="26" t="s">
        <v>13</v>
      </c>
      <c r="AY7" s="25" t="s">
        <v>62</v>
      </c>
      <c r="BB7" s="4" t="s">
        <v>46</v>
      </c>
      <c r="BC7" s="4">
        <f>INDEX('Main Data'!$D$1:$AE$373,MATCH(2018&amp;'Question 4'!BC$2&amp;"Rural",'Main Data'!$D$1:$D$373,0),MATCH('Question 4'!$BB7,'Main Data'!$D$1:$AE$1,0))</f>
        <v>129.30000000000001</v>
      </c>
      <c r="BD7" s="4">
        <f>INDEX('Main Data'!$D$1:$AE$373,MATCH(2019&amp;'Question 4'!BD$2&amp;"Rural",'Main Data'!$D$1:$D$373,0),MATCH('Question 4'!$BB7,'Main Data'!$D$1:$AE$1,0))</f>
        <v>134.9</v>
      </c>
      <c r="BE7" s="35">
        <f t="shared" si="0"/>
        <v>4.3310131477184793E-2</v>
      </c>
      <c r="BG7" s="4" t="s">
        <v>46</v>
      </c>
      <c r="BH7" s="4">
        <f>INDEX('Main Data'!$D$1:$AE$373,MATCH(2018&amp;'Question 4'!BH$2&amp;"Urban",'Main Data'!$D$1:$D$373,0),MATCH('Question 4'!$BB7,'Main Data'!$D$1:$AE$1,0))</f>
        <v>126.7</v>
      </c>
      <c r="BI7" s="4">
        <f>INDEX('Main Data'!$D$1:$AE$373,MATCH(2019&amp;'Question 4'!BI$2&amp;"Urban",'Main Data'!$D$1:$D$373,0),MATCH('Question 4'!$BB7,'Main Data'!$D$1:$AE$1,0))</f>
        <v>133</v>
      </c>
      <c r="BJ7" s="35">
        <f t="shared" si="1"/>
        <v>4.9723756906077325E-2</v>
      </c>
      <c r="BL7" s="4" t="s">
        <v>46</v>
      </c>
      <c r="BM7" s="4">
        <f>INDEX('Main Data'!$D$1:$AE$373,MATCH(2018&amp;'Question 4'!BM$2&amp;"Rural+Urban",'Main Data'!$D$1:$D$373,0),MATCH('Question 4'!$BB7,'Main Data'!$D$1:$AE$1,0))</f>
        <v>128.19999999999999</v>
      </c>
      <c r="BN7" s="4">
        <f>INDEX('Main Data'!$D$1:$AE$373,MATCH(2019&amp;'Question 4'!BN$2&amp;"Rural+Urban",'Main Data'!$D$1:$D$373,0),MATCH('Question 4'!$BB7,'Main Data'!$D$1:$AE$1,0))</f>
        <v>134.1</v>
      </c>
      <c r="BO7" s="35">
        <f t="shared" si="2"/>
        <v>4.6021840873634992E-2</v>
      </c>
    </row>
    <row r="8" spans="41:67" x14ac:dyDescent="0.25">
      <c r="AP8" s="27">
        <v>2018</v>
      </c>
      <c r="AQ8" s="4">
        <f>VLOOKUP($AP8&amp;AQ$2&amp;"Urban",'Main Data'!$D$1:$AE$373,28,0)</f>
        <v>134</v>
      </c>
      <c r="AR8" s="4">
        <f>VLOOKUP(($AP8+1)&amp;AR$2&amp;"Urban",'Main Data'!$D$1:$AE$373,28,0)</f>
        <v>138.6</v>
      </c>
      <c r="AS8" s="4">
        <f>(AR8-AQ8)/AR8</f>
        <v>3.318903318903315E-2</v>
      </c>
      <c r="AV8" s="27">
        <v>2020</v>
      </c>
      <c r="AW8" s="28">
        <f>VLOOKUP($AV8&amp;"March"&amp;"Urban",'Main Data'!$D$1:$AE$373,28,0)</f>
        <v>147.30000000000001</v>
      </c>
      <c r="AX8" s="4">
        <f>VLOOKUP(($AV8+1)&amp;AX$2&amp;"Urban",'Main Data'!$D$1:$AE$373,28,0)</f>
        <v>156.9</v>
      </c>
      <c r="AY8" s="4">
        <f>(AX8-AW8)/AX8</f>
        <v>6.1185468451242793E-2</v>
      </c>
      <c r="AZ8" t="s">
        <v>94</v>
      </c>
      <c r="BB8" s="4" t="s">
        <v>8</v>
      </c>
      <c r="BC8" s="4">
        <f>INDEX('Main Data'!$D$1:$AE$373,MATCH(2018&amp;'Question 4'!BC$2&amp;"Rural",'Main Data'!$D$1:$D$373,0),MATCH('Question 4'!$BB8,'Main Data'!$D$1:$AE$1,0))</f>
        <v>133.30000000000001</v>
      </c>
      <c r="BD8" s="4">
        <f>INDEX('Main Data'!$D$1:$AE$373,MATCH(2019&amp;'Question 4'!BD$2&amp;"Rural",'Main Data'!$D$1:$D$373,0),MATCH('Question 4'!$BB8,'Main Data'!$D$1:$AE$1,0))</f>
        <v>142.19999999999999</v>
      </c>
      <c r="BE8" s="35">
        <f t="shared" si="0"/>
        <v>6.6766691672918058E-2</v>
      </c>
      <c r="BG8" s="4" t="s">
        <v>8</v>
      </c>
      <c r="BH8" s="4">
        <f>INDEX('Main Data'!$D$1:$AE$373,MATCH(2018&amp;'Question 4'!BH$2&amp;"Urban",'Main Data'!$D$1:$D$373,0),MATCH('Question 4'!$BB8,'Main Data'!$D$1:$AE$1,0))</f>
        <v>127.1</v>
      </c>
      <c r="BI8" s="4">
        <f>INDEX('Main Data'!$D$1:$AE$373,MATCH(2019&amp;'Question 4'!BI$2&amp;"Urban",'Main Data'!$D$1:$D$373,0),MATCH('Question 4'!$BB8,'Main Data'!$D$1:$AE$1,0))</f>
        <v>132.4</v>
      </c>
      <c r="BJ8" s="35">
        <f t="shared" si="1"/>
        <v>4.1699449252557134E-2</v>
      </c>
      <c r="BL8" s="4" t="s">
        <v>8</v>
      </c>
      <c r="BM8" s="4">
        <f>INDEX('Main Data'!$D$1:$AE$373,MATCH(2018&amp;'Question 4'!BM$2&amp;"Rural+Urban",'Main Data'!$D$1:$D$373,0),MATCH('Question 4'!$BB8,'Main Data'!$D$1:$AE$1,0))</f>
        <v>130.30000000000001</v>
      </c>
      <c r="BN8" s="4">
        <f>INDEX('Main Data'!$D$1:$AE$373,MATCH(2019&amp;'Question 4'!BN$2&amp;"Rural+Urban",'Main Data'!$D$1:$D$373,0),MATCH('Question 4'!$BB8,'Main Data'!$D$1:$AE$1,0))</f>
        <v>137.4</v>
      </c>
      <c r="BO8" s="35">
        <f t="shared" si="2"/>
        <v>5.448963929393702E-2</v>
      </c>
    </row>
    <row r="9" spans="41:67" x14ac:dyDescent="0.25">
      <c r="AP9" s="27">
        <v>2019</v>
      </c>
      <c r="AQ9" s="4">
        <f>VLOOKUP($AP9&amp;AQ$2&amp;"Urban",'Main Data'!$D$1:$AE$373,28,0)</f>
        <v>139.5</v>
      </c>
      <c r="AR9" s="4">
        <f>VLOOKUP(($AP9+1)&amp;AR$2&amp;"Urban",'Main Data'!$D$1:$AE$373,28,0)</f>
        <v>147.69999999999999</v>
      </c>
      <c r="AS9" s="4">
        <f>(AR9-AQ9)/AR9</f>
        <v>5.5517941773865868E-2</v>
      </c>
      <c r="AV9" s="27">
        <v>2021</v>
      </c>
      <c r="AW9" s="4">
        <f>VLOOKUP($AV9&amp;"March"&amp;"Urban",'Main Data'!$D$1:$AE$373,28,0)</f>
        <v>156.9</v>
      </c>
      <c r="AX9" s="4">
        <f>VLOOKUP(($AV9+1)&amp;AX$2&amp;"Urban",'Main Data'!$D$1:$AE$373,28,0)</f>
        <v>166.5</v>
      </c>
      <c r="AY9" s="4">
        <f>(AX9-AW9)/AX9</f>
        <v>5.7657657657657624E-2</v>
      </c>
      <c r="BB9" s="21" t="s">
        <v>107</v>
      </c>
      <c r="BG9" s="21" t="s">
        <v>111</v>
      </c>
      <c r="BL9" s="21" t="s">
        <v>115</v>
      </c>
    </row>
    <row r="10" spans="41:67" x14ac:dyDescent="0.25">
      <c r="BB10" s="58" t="s">
        <v>105</v>
      </c>
      <c r="BC10" s="58" t="s">
        <v>15</v>
      </c>
      <c r="BD10" s="58" t="s">
        <v>13</v>
      </c>
      <c r="BE10" s="58" t="s">
        <v>62</v>
      </c>
      <c r="BG10" s="58" t="s">
        <v>105</v>
      </c>
      <c r="BH10" s="58" t="s">
        <v>15</v>
      </c>
      <c r="BI10" s="58" t="s">
        <v>13</v>
      </c>
      <c r="BJ10" s="58" t="s">
        <v>62</v>
      </c>
      <c r="BL10" s="58" t="s">
        <v>105</v>
      </c>
      <c r="BM10" s="58" t="s">
        <v>15</v>
      </c>
      <c r="BN10" s="58" t="s">
        <v>13</v>
      </c>
      <c r="BO10" s="58" t="s">
        <v>62</v>
      </c>
    </row>
    <row r="11" spans="41:67" x14ac:dyDescent="0.25">
      <c r="AP11" t="s">
        <v>98</v>
      </c>
      <c r="BB11" s="4" t="s">
        <v>3</v>
      </c>
      <c r="BC11" s="4">
        <f>INDEX('Main Data'!$D$1:$AE$373,MATCH(2019&amp;'Question 4'!BC$2&amp;"Rural",'Main Data'!$D$1:$D$373,0),MATCH('Question 4'!$BB11,'Main Data'!$D$1:$AE$1,0))</f>
        <v>137.30000000000001</v>
      </c>
      <c r="BD11" s="4">
        <f>INDEX('Main Data'!$D$1:$AE$373,MATCH(2020&amp;'Question 4'!BD$2&amp;"Rural",'Main Data'!$D$1:$D$373,0),MATCH('Question 4'!$BB11,'Main Data'!$D$1:$AE$1,0))</f>
        <v>149.80000000000001</v>
      </c>
      <c r="BE11" s="35">
        <f>(BD11-BC11)/BC11</f>
        <v>9.1041514930808434E-2</v>
      </c>
      <c r="BG11" s="4" t="s">
        <v>3</v>
      </c>
      <c r="BH11" s="4">
        <f>INDEX('Main Data'!$D$1:$AE$373,MATCH(2019&amp;'Question 4'!BH$2&amp;"Urban",'Main Data'!$D$1:$D$373,0),MATCH('Question 4'!$BB11,'Main Data'!$D$1:$AE$1,0))</f>
        <v>139.6</v>
      </c>
      <c r="BI11" s="4">
        <f>INDEX('Main Data'!$D$1:$AE$373,MATCH(2020&amp;'Question 4'!BI$2&amp;"Urban",'Main Data'!$D$1:$D$373,0),MATCH('Question 4'!$BB11,'Main Data'!$D$1:$AE$1,0))</f>
        <v>151.69999999999999</v>
      </c>
      <c r="BJ11" s="35">
        <f>(BI11-BH11)/BH11</f>
        <v>8.6676217765042946E-2</v>
      </c>
      <c r="BL11" s="4" t="s">
        <v>3</v>
      </c>
      <c r="BM11" s="4">
        <f>INDEX('Main Data'!$D$1:$AE$373,MATCH(2019&amp;'Question 4'!BM$2&amp;"Rural+Urban",'Main Data'!$D$1:$D$373,0),MATCH('Question 4'!$BB11,'Main Data'!$D$1:$AE$1,0))</f>
        <v>138.1</v>
      </c>
      <c r="BN11" s="4">
        <f>INDEX('Main Data'!$D$1:$AE$373,MATCH(2020&amp;'Question 4'!BN$2&amp;"Rural+Urban",'Main Data'!$D$1:$D$373,0),MATCH('Question 4'!$BB11,'Main Data'!$D$1:$AE$1,0))</f>
        <v>150.5</v>
      </c>
      <c r="BO11" s="35">
        <f>(BN11-BM11)/BM11</f>
        <v>8.9790007241129663E-2</v>
      </c>
    </row>
    <row r="12" spans="41:67" x14ac:dyDescent="0.25">
      <c r="AP12" s="27" t="s">
        <v>92</v>
      </c>
      <c r="AQ12" s="26" t="s">
        <v>15</v>
      </c>
      <c r="AR12" s="26" t="s">
        <v>13</v>
      </c>
      <c r="AS12" s="25" t="s">
        <v>62</v>
      </c>
      <c r="AV12" s="27" t="s">
        <v>92</v>
      </c>
      <c r="AW12" s="26" t="s">
        <v>15</v>
      </c>
      <c r="AX12" s="26" t="s">
        <v>13</v>
      </c>
      <c r="AY12" s="25" t="s">
        <v>62</v>
      </c>
      <c r="BB12" s="4" t="s">
        <v>4</v>
      </c>
      <c r="BC12" s="4">
        <f>INDEX('Main Data'!$D$1:$AE$373,MATCH(2019&amp;'Question 4'!BC$2&amp;"Rural",'Main Data'!$D$1:$D$373,0),MATCH('Question 4'!$BB12,'Main Data'!$D$1:$AE$1,0))</f>
        <v>162.9</v>
      </c>
      <c r="BD12" s="4">
        <f>INDEX('Main Data'!$D$1:$AE$373,MATCH(2020&amp;'Question 4'!BD$2&amp;"Rural",'Main Data'!$D$1:$D$373,0),MATCH('Question 4'!$BB12,'Main Data'!$D$1:$AE$1,0))</f>
        <v>169.4</v>
      </c>
      <c r="BE12" s="35">
        <f t="shared" ref="BE12:BE16" si="3">(BD12-BC12)/BC12</f>
        <v>3.9901780233271941E-2</v>
      </c>
      <c r="BG12" s="4" t="s">
        <v>4</v>
      </c>
      <c r="BH12" s="4">
        <f>INDEX('Main Data'!$D$1:$AE$373,MATCH(2019&amp;'Question 4'!BH$2&amp;"Urban",'Main Data'!$D$1:$D$373,0),MATCH('Question 4'!$BB12,'Main Data'!$D$1:$AE$1,0))</f>
        <v>165.3</v>
      </c>
      <c r="BI12" s="4">
        <f>INDEX('Main Data'!$D$1:$AE$373,MATCH(2020&amp;'Question 4'!BI$2&amp;"Urban",'Main Data'!$D$1:$D$373,0),MATCH('Question 4'!$BB12,'Main Data'!$D$1:$AE$1,0))</f>
        <v>172</v>
      </c>
      <c r="BJ12" s="35">
        <f t="shared" ref="BJ12:BJ16" si="4">(BI12-BH12)/BH12</f>
        <v>4.0532365396249173E-2</v>
      </c>
      <c r="BL12" s="4" t="s">
        <v>4</v>
      </c>
      <c r="BM12" s="4">
        <f>INDEX('Main Data'!$D$1:$AE$373,MATCH(2019&amp;'Question 4'!BM$2&amp;"Rural+Urban",'Main Data'!$D$1:$D$373,0),MATCH('Question 4'!$BB12,'Main Data'!$D$1:$AE$1,0))</f>
        <v>163.5</v>
      </c>
      <c r="BN12" s="4">
        <f>INDEX('Main Data'!$D$1:$AE$373,MATCH(2020&amp;'Question 4'!BN$2&amp;"Rural+Urban",'Main Data'!$D$1:$D$373,0),MATCH('Question 4'!$BB12,'Main Data'!$D$1:$AE$1,0))</f>
        <v>170.1</v>
      </c>
      <c r="BO12" s="35">
        <f t="shared" ref="BO12:BO16" si="5">(BN12-BM12)/BM12</f>
        <v>4.0366972477064188E-2</v>
      </c>
    </row>
    <row r="13" spans="41:67" x14ac:dyDescent="0.25">
      <c r="AP13" s="27">
        <v>2018</v>
      </c>
      <c r="AQ13" s="4">
        <f>VLOOKUP($AP13&amp;AQ$2&amp;"Rural+Urban",'Main Data'!$D$1:$AE$373,28,0)</f>
        <v>136.5</v>
      </c>
      <c r="AR13" s="4">
        <f>VLOOKUP(($AP13+1)&amp;AR$2&amp;"Rural+Urban",'Main Data'!$D$1:$AE$373,28,0)</f>
        <v>139.9</v>
      </c>
      <c r="AS13" s="4">
        <f>(AR13-AQ13)/AR13</f>
        <v>2.4303073624017194E-2</v>
      </c>
      <c r="AV13" s="27">
        <v>2020</v>
      </c>
      <c r="AW13" s="28">
        <f>VLOOKUP($AV13&amp;"March"&amp;"Rural+Urban",'Main Data'!$D$1:$AE$373,28,0)</f>
        <v>148.6</v>
      </c>
      <c r="AX13" s="4">
        <f>VLOOKUP(($AV13+1)&amp;AX$2&amp;"Rural+Urban",'Main Data'!$D$1:$AE$373,28,0)</f>
        <v>156.80000000000001</v>
      </c>
      <c r="AY13" s="4">
        <f>(AX13-AW13)/AX13</f>
        <v>5.2295918367347045E-2</v>
      </c>
      <c r="AZ13" t="s">
        <v>94</v>
      </c>
      <c r="BB13" s="4" t="s">
        <v>5</v>
      </c>
      <c r="BC13" s="4">
        <f>INDEX('Main Data'!$D$1:$AE$373,MATCH(2019&amp;'Question 4'!BC$2&amp;"Rural",'Main Data'!$D$1:$D$373,0),MATCH('Question 4'!$BB13,'Main Data'!$D$1:$AE$1,0))</f>
        <v>150.1</v>
      </c>
      <c r="BD13" s="4">
        <f>INDEX('Main Data'!$D$1:$AE$373,MATCH(2020&amp;'Question 4'!BD$2&amp;"Rural",'Main Data'!$D$1:$D$373,0),MATCH('Question 4'!$BB13,'Main Data'!$D$1:$AE$1,0))</f>
        <v>152.30000000000001</v>
      </c>
      <c r="BE13" s="35">
        <f t="shared" si="3"/>
        <v>1.4656895403064737E-2</v>
      </c>
      <c r="BG13" s="4" t="s">
        <v>5</v>
      </c>
      <c r="BH13" s="4">
        <f>INDEX('Main Data'!$D$1:$AE$373,MATCH(2019&amp;'Question 4'!BH$2&amp;"Urban",'Main Data'!$D$1:$D$373,0),MATCH('Question 4'!$BB13,'Main Data'!$D$1:$AE$1,0))</f>
        <v>141.6</v>
      </c>
      <c r="BI13" s="4">
        <f>INDEX('Main Data'!$D$1:$AE$373,MATCH(2020&amp;'Question 4'!BI$2&amp;"Urban",'Main Data'!$D$1:$D$373,0),MATCH('Question 4'!$BB13,'Main Data'!$D$1:$AE$1,0))</f>
        <v>145.19999999999999</v>
      </c>
      <c r="BJ13" s="35">
        <f t="shared" si="4"/>
        <v>2.5423728813559282E-2</v>
      </c>
      <c r="BL13" s="4" t="s">
        <v>5</v>
      </c>
      <c r="BM13" s="4">
        <f>INDEX('Main Data'!$D$1:$AE$373,MATCH(2019&amp;'Question 4'!BM$2&amp;"Rural+Urban",'Main Data'!$D$1:$D$373,0),MATCH('Question 4'!$BB13,'Main Data'!$D$1:$AE$1,0))</f>
        <v>146.69999999999999</v>
      </c>
      <c r="BN13" s="4">
        <f>INDEX('Main Data'!$D$1:$AE$373,MATCH(2020&amp;'Question 4'!BN$2&amp;"Rural+Urban",'Main Data'!$D$1:$D$373,0),MATCH('Question 4'!$BB13,'Main Data'!$D$1:$AE$1,0))</f>
        <v>149.5</v>
      </c>
      <c r="BO13" s="35">
        <f t="shared" si="5"/>
        <v>1.9086571233810575E-2</v>
      </c>
    </row>
    <row r="14" spans="41:67" x14ac:dyDescent="0.25">
      <c r="AP14" s="27">
        <v>2019</v>
      </c>
      <c r="AQ14" s="4">
        <f>VLOOKUP($AP14&amp;AQ$2&amp;"Rural+Urban",'Main Data'!$D$1:$AE$373,28,0)</f>
        <v>140.4</v>
      </c>
      <c r="AR14" s="4">
        <f>VLOOKUP(($AP14+1)&amp;AR$2&amp;"Rural+Urban",'Main Data'!$D$1:$AE$373,28,0)</f>
        <v>149.1</v>
      </c>
      <c r="AS14" s="4">
        <f>(AR14-AQ14)/AR14</f>
        <v>5.8350100603621655E-2</v>
      </c>
      <c r="AV14" s="27">
        <v>2021</v>
      </c>
      <c r="AW14" s="29">
        <f>VLOOKUP($AV14&amp;"March"&amp;"Rural+Urban",'Main Data'!$D$1:$AE$373,28,0)</f>
        <v>156.80000000000001</v>
      </c>
      <c r="AX14" s="4">
        <f>VLOOKUP(($AV14+1)&amp;AX$2&amp;"Rural+Urban",'Main Data'!$D$1:$AE$373,28,0)</f>
        <v>167.7</v>
      </c>
      <c r="AY14" s="4">
        <f>(AX14-AW14)/AX14</f>
        <v>6.4997018485390454E-2</v>
      </c>
      <c r="BB14" s="4" t="s">
        <v>6</v>
      </c>
      <c r="BC14" s="4">
        <f>INDEX('Main Data'!$D$1:$AE$373,MATCH(2019&amp;'Question 4'!BC$2&amp;"Rural",'Main Data'!$D$1:$D$373,0),MATCH('Question 4'!$BB14,'Main Data'!$D$1:$AE$1,0))</f>
        <v>150</v>
      </c>
      <c r="BD14" s="4">
        <f>INDEX('Main Data'!$D$1:$AE$373,MATCH(2020&amp;'Question 4'!BD$2&amp;"Rural",'Main Data'!$D$1:$D$373,0),MATCH('Question 4'!$BB14,'Main Data'!$D$1:$AE$1,0))</f>
        <v>151.80000000000001</v>
      </c>
      <c r="BE14" s="35">
        <f t="shared" si="3"/>
        <v>1.2000000000000077E-2</v>
      </c>
      <c r="BG14" s="4" t="s">
        <v>6</v>
      </c>
      <c r="BH14" s="4">
        <f>INDEX('Main Data'!$D$1:$AE$373,MATCH(2019&amp;'Question 4'!BH$2&amp;"Urban",'Main Data'!$D$1:$D$373,0),MATCH('Question 4'!$BB14,'Main Data'!$D$1:$AE$1,0))</f>
        <v>136.80000000000001</v>
      </c>
      <c r="BI14" s="4">
        <f>INDEX('Main Data'!$D$1:$AE$373,MATCH(2020&amp;'Question 4'!BI$2&amp;"Urban",'Main Data'!$D$1:$D$373,0),MATCH('Question 4'!$BB14,'Main Data'!$D$1:$AE$1,0))</f>
        <v>140.4</v>
      </c>
      <c r="BJ14" s="35">
        <f t="shared" si="4"/>
        <v>2.6315789473684167E-2</v>
      </c>
      <c r="BL14" s="4" t="s">
        <v>6</v>
      </c>
      <c r="BM14" s="4">
        <f>INDEX('Main Data'!$D$1:$AE$373,MATCH(2019&amp;'Question 4'!BM$2&amp;"Rural+Urban",'Main Data'!$D$1:$D$373,0),MATCH('Question 4'!$BB14,'Main Data'!$D$1:$AE$1,0))</f>
        <v>143.80000000000001</v>
      </c>
      <c r="BN14" s="4">
        <f>INDEX('Main Data'!$D$1:$AE$373,MATCH(2020&amp;'Question 4'!BN$2&amp;"Rural+Urban",'Main Data'!$D$1:$D$373,0),MATCH('Question 4'!$BB14,'Main Data'!$D$1:$AE$1,0))</f>
        <v>146.4</v>
      </c>
      <c r="BO14" s="35">
        <f t="shared" si="5"/>
        <v>1.8080667593880349E-2</v>
      </c>
    </row>
    <row r="15" spans="41:67" x14ac:dyDescent="0.25">
      <c r="BB15" s="4" t="s">
        <v>46</v>
      </c>
      <c r="BC15" s="4">
        <f>INDEX('Main Data'!$D$1:$AE$373,MATCH(2019&amp;'Question 4'!BC$2&amp;"Rural",'Main Data'!$D$1:$D$373,0),MATCH('Question 4'!$BB15,'Main Data'!$D$1:$AE$1,0))</f>
        <v>134</v>
      </c>
      <c r="BD15" s="4">
        <f>INDEX('Main Data'!$D$1:$AE$373,MATCH(2020&amp;'Question 4'!BD$2&amp;"Rural",'Main Data'!$D$1:$D$373,0),MATCH('Question 4'!$BB15,'Main Data'!$D$1:$AE$1,0))</f>
        <v>143.4</v>
      </c>
      <c r="BE15" s="35">
        <f t="shared" si="3"/>
        <v>7.0149253731343328E-2</v>
      </c>
      <c r="BG15" s="4" t="s">
        <v>46</v>
      </c>
      <c r="BH15" s="4">
        <f>INDEX('Main Data'!$D$1:$AE$373,MATCH(2019&amp;'Question 4'!BH$2&amp;"Urban",'Main Data'!$D$1:$D$373,0),MATCH('Question 4'!$BB15,'Main Data'!$D$1:$AE$1,0))</f>
        <v>132.5</v>
      </c>
      <c r="BI15" s="4">
        <f>INDEX('Main Data'!$D$1:$AE$373,MATCH(2020&amp;'Question 4'!BI$2&amp;"Urban",'Main Data'!$D$1:$D$373,0),MATCH('Question 4'!$BB15,'Main Data'!$D$1:$AE$1,0))</f>
        <v>143.5</v>
      </c>
      <c r="BJ15" s="35">
        <f t="shared" si="4"/>
        <v>8.3018867924528297E-2</v>
      </c>
      <c r="BL15" s="4" t="s">
        <v>46</v>
      </c>
      <c r="BM15" s="4">
        <f>INDEX('Main Data'!$D$1:$AE$373,MATCH(2019&amp;'Question 4'!BM$2&amp;"Rural+Urban",'Main Data'!$D$1:$D$373,0),MATCH('Question 4'!$BB15,'Main Data'!$D$1:$AE$1,0))</f>
        <v>133.4</v>
      </c>
      <c r="BN15" s="4">
        <f>INDEX('Main Data'!$D$1:$AE$373,MATCH(2020&amp;'Question 4'!BN$2&amp;"Rural+Urban",'Main Data'!$D$1:$D$373,0),MATCH('Question 4'!$BB15,'Main Data'!$D$1:$AE$1,0))</f>
        <v>143.4</v>
      </c>
      <c r="BO15" s="35">
        <f t="shared" si="5"/>
        <v>7.4962518740629688E-2</v>
      </c>
    </row>
    <row r="16" spans="41:67" x14ac:dyDescent="0.25">
      <c r="AO16" s="33"/>
      <c r="AP16" s="4" t="s">
        <v>9</v>
      </c>
      <c r="AQ16" s="4"/>
      <c r="AR16" s="32"/>
      <c r="AS16" s="4" t="s">
        <v>11</v>
      </c>
      <c r="AT16" s="4"/>
      <c r="AU16" s="30"/>
      <c r="AV16" s="4" t="s">
        <v>12</v>
      </c>
      <c r="AW16" s="4"/>
      <c r="BB16" s="4" t="s">
        <v>8</v>
      </c>
      <c r="BC16" s="4">
        <f>INDEX('Main Data'!$D$1:$AE$373,MATCH(2019&amp;'Question 4'!BC$2&amp;"Rural",'Main Data'!$D$1:$D$373,0),MATCH('Question 4'!$BB16,'Main Data'!$D$1:$AE$1,0))</f>
        <v>142.4</v>
      </c>
      <c r="BD16" s="4">
        <f>INDEX('Main Data'!$D$1:$AE$373,MATCH(2020&amp;'Question 4'!BD$2&amp;"Rural",'Main Data'!$D$1:$D$373,0),MATCH('Question 4'!$BB16,'Main Data'!$D$1:$AE$1,0))</f>
        <v>148.4</v>
      </c>
      <c r="BE16" s="35">
        <f t="shared" si="3"/>
        <v>4.2134831460674156E-2</v>
      </c>
      <c r="BG16" s="4" t="s">
        <v>8</v>
      </c>
      <c r="BH16" s="4">
        <f>INDEX('Main Data'!$D$1:$AE$373,MATCH(2019&amp;'Question 4'!BH$2&amp;"Urban",'Main Data'!$D$1:$D$373,0),MATCH('Question 4'!$BB16,'Main Data'!$D$1:$AE$1,0))</f>
        <v>132.80000000000001</v>
      </c>
      <c r="BI16" s="4">
        <f>INDEX('Main Data'!$D$1:$AE$373,MATCH(2020&amp;'Question 4'!BI$2&amp;"Urban",'Main Data'!$D$1:$D$373,0),MATCH('Question 4'!$BB16,'Main Data'!$D$1:$AE$1,0))</f>
        <v>138.4</v>
      </c>
      <c r="BJ16" s="35">
        <f t="shared" si="4"/>
        <v>4.2168674698795136E-2</v>
      </c>
      <c r="BL16" s="4" t="s">
        <v>8</v>
      </c>
      <c r="BM16" s="4">
        <f>INDEX('Main Data'!$D$1:$AE$373,MATCH(2019&amp;'Question 4'!BM$2&amp;"Rural+Urban",'Main Data'!$D$1:$D$373,0),MATCH('Question 4'!$BB16,'Main Data'!$D$1:$AE$1,0))</f>
        <v>137.69999999999999</v>
      </c>
      <c r="BN16" s="4">
        <f>INDEX('Main Data'!$D$1:$AE$373,MATCH(2020&amp;'Question 4'!BN$2&amp;"Rural+Urban",'Main Data'!$D$1:$D$373,0),MATCH('Question 4'!$BB16,'Main Data'!$D$1:$AE$1,0))</f>
        <v>143.6</v>
      </c>
      <c r="BO16" s="35">
        <f t="shared" si="5"/>
        <v>4.2846768336964464E-2</v>
      </c>
    </row>
    <row r="17" spans="41:67" x14ac:dyDescent="0.25">
      <c r="AO17" s="34"/>
      <c r="AP17" s="4" t="s">
        <v>92</v>
      </c>
      <c r="AQ17" s="4" t="s">
        <v>62</v>
      </c>
      <c r="AR17" s="31"/>
      <c r="AS17" s="4" t="s">
        <v>92</v>
      </c>
      <c r="AT17" s="4" t="s">
        <v>62</v>
      </c>
      <c r="AU17" s="30"/>
      <c r="AV17" s="4" t="s">
        <v>92</v>
      </c>
      <c r="AW17" s="4" t="s">
        <v>62</v>
      </c>
      <c r="BB17" s="21" t="s">
        <v>108</v>
      </c>
      <c r="BG17" s="21" t="s">
        <v>112</v>
      </c>
      <c r="BL17" s="21" t="s">
        <v>112</v>
      </c>
    </row>
    <row r="18" spans="41:67" x14ac:dyDescent="0.25">
      <c r="AO18" s="64" t="s">
        <v>99</v>
      </c>
      <c r="AP18" s="4" t="s">
        <v>101</v>
      </c>
      <c r="AQ18" s="35">
        <v>1.6312056737588732E-2</v>
      </c>
      <c r="AR18" s="64" t="s">
        <v>99</v>
      </c>
      <c r="AS18" s="4" t="s">
        <v>101</v>
      </c>
      <c r="AT18" s="35">
        <v>3.318903318903315E-2</v>
      </c>
      <c r="AU18" s="64" t="s">
        <v>99</v>
      </c>
      <c r="AV18" s="4" t="s">
        <v>101</v>
      </c>
      <c r="AW18" s="35">
        <v>2.4303073624017194E-2</v>
      </c>
      <c r="BB18" s="58" t="s">
        <v>105</v>
      </c>
      <c r="BC18" s="58" t="s">
        <v>16</v>
      </c>
      <c r="BD18" s="58" t="s">
        <v>15</v>
      </c>
      <c r="BE18" s="58" t="s">
        <v>62</v>
      </c>
      <c r="BG18" s="58" t="s">
        <v>105</v>
      </c>
      <c r="BH18" s="58" t="s">
        <v>16</v>
      </c>
      <c r="BI18" s="58" t="s">
        <v>15</v>
      </c>
      <c r="BJ18" s="58" t="s">
        <v>62</v>
      </c>
      <c r="BL18" s="58" t="s">
        <v>105</v>
      </c>
      <c r="BM18" s="58" t="s">
        <v>16</v>
      </c>
      <c r="BN18" s="58" t="s">
        <v>15</v>
      </c>
      <c r="BO18" s="58" t="s">
        <v>62</v>
      </c>
    </row>
    <row r="19" spans="41:67" x14ac:dyDescent="0.25">
      <c r="AO19" s="64"/>
      <c r="AP19" s="4" t="s">
        <v>102</v>
      </c>
      <c r="AQ19" s="35">
        <v>6.1170212765957556E-2</v>
      </c>
      <c r="AR19" s="64"/>
      <c r="AS19" s="4" t="s">
        <v>102</v>
      </c>
      <c r="AT19" s="35">
        <v>5.5517941773865868E-2</v>
      </c>
      <c r="AU19" s="64"/>
      <c r="AV19" s="4" t="s">
        <v>102</v>
      </c>
      <c r="AW19" s="35">
        <v>5.8350100603621655E-2</v>
      </c>
      <c r="BB19" s="4" t="s">
        <v>3</v>
      </c>
      <c r="BC19" s="4">
        <f>INDEX('Main Data'!$D$1:$AE$373,MATCH(2020&amp;"March"&amp;"Rural",'Main Data'!$D$1:$D$373,0),MATCH('Question 4'!$BB19,'Main Data'!$D$1:$AE$1,0))</f>
        <v>148.19999999999999</v>
      </c>
      <c r="BD19" s="4">
        <f>INDEX('Main Data'!$D$1:$AE$373,MATCH(2021&amp;'Question 4'!BD$18&amp;"Rural",'Main Data'!$D$1:$D$373,0),MATCH('Question 4'!$BB19,'Main Data'!$D$1:$AE$1,0))</f>
        <v>154.5</v>
      </c>
      <c r="BE19" s="35">
        <f>(BD19-BC19)/BC19</f>
        <v>4.2510121457489961E-2</v>
      </c>
      <c r="BG19" s="4" t="s">
        <v>3</v>
      </c>
      <c r="BH19" s="4">
        <f>INDEX('Main Data'!$D$1:$AE$373,MATCH(2020&amp;"March"&amp;"Urban",'Main Data'!$D$1:$D$373,0),MATCH('Question 4'!$BB19,'Main Data'!$D$1:$AE$1,0))</f>
        <v>150.1</v>
      </c>
      <c r="BI19" s="4">
        <f>INDEX('Main Data'!$D$1:$AE$373,MATCH(2021&amp;'Question 4'!BI$18&amp;"Urban",'Main Data'!$D$1:$D$373,0),MATCH('Question 4'!$BB19,'Main Data'!$D$1:$AE$1,0))</f>
        <v>160.4</v>
      </c>
      <c r="BJ19" s="35">
        <f>(BI19-BH19)/BH19</f>
        <v>6.862091938707536E-2</v>
      </c>
      <c r="BL19" s="4" t="s">
        <v>3</v>
      </c>
      <c r="BM19" s="4">
        <f>INDEX('Main Data'!$D$1:$AE$373,MATCH(2020&amp;"March"&amp;"Rural+Urban",'Main Data'!$D$1:$D$373,0),MATCH('Question 4'!$BB19,'Main Data'!$D$1:$AE$1,0))</f>
        <v>148.9</v>
      </c>
      <c r="BN19" s="4">
        <f>INDEX('Main Data'!$D$1:$AE$373,MATCH(2021&amp;'Question 4'!BN$18&amp;"Rural+Urban",'Main Data'!$D$1:$D$373,0),MATCH('Question 4'!$BB19,'Main Data'!$D$1:$AE$1,0))</f>
        <v>156.69999999999999</v>
      </c>
      <c r="BO19" s="35">
        <f>(BN19-BM19)/BM19</f>
        <v>5.2384150436534473E-2</v>
      </c>
    </row>
    <row r="20" spans="41:67" x14ac:dyDescent="0.25">
      <c r="AO20" s="64" t="s">
        <v>100</v>
      </c>
      <c r="AP20" s="4" t="s">
        <v>103</v>
      </c>
      <c r="AQ20" s="35">
        <v>4.4033184428844782E-2</v>
      </c>
      <c r="AR20" s="64" t="s">
        <v>100</v>
      </c>
      <c r="AS20" s="4" t="s">
        <v>103</v>
      </c>
      <c r="AT20" s="35">
        <v>6.1185468451242793E-2</v>
      </c>
      <c r="AU20" s="64" t="s">
        <v>100</v>
      </c>
      <c r="AV20" s="4" t="s">
        <v>103</v>
      </c>
      <c r="AW20" s="35">
        <v>5.2295918367347045E-2</v>
      </c>
      <c r="BB20" s="4" t="s">
        <v>4</v>
      </c>
      <c r="BC20" s="4">
        <f>INDEX('Main Data'!$D$1:$AE$373,MATCH(2020&amp;"march"&amp;"Rural",'Main Data'!$D$1:$D$373,0),MATCH('Question 4'!$BB20,'Main Data'!$D$1:$AE$1,0))</f>
        <v>170.5</v>
      </c>
      <c r="BD20" s="4">
        <f>INDEX('Main Data'!$D$1:$AE$373,MATCH(2021&amp;'Question 4'!BD$18&amp;"Rural",'Main Data'!$D$1:$D$373,0),MATCH('Question 4'!$BB20,'Main Data'!$D$1:$AE$1,0))</f>
        <v>186.1</v>
      </c>
      <c r="BE20" s="35">
        <f t="shared" ref="BE20:BE24" si="6">(BD20-BC20)/BC20</f>
        <v>9.1495601173020497E-2</v>
      </c>
      <c r="BG20" s="4" t="s">
        <v>4</v>
      </c>
      <c r="BH20" s="4">
        <f>INDEX('Main Data'!$D$1:$AE$373,MATCH(2020&amp;"March"&amp;"Urban",'Main Data'!$D$1:$D$373,0),MATCH('Question 4'!$BB20,'Main Data'!$D$1:$AE$1,0))</f>
        <v>173.3</v>
      </c>
      <c r="BI20" s="4">
        <f>INDEX('Main Data'!$D$1:$AE$373,MATCH(2021&amp;'Question 4'!BI$18&amp;"Urban",'Main Data'!$D$1:$D$373,0),MATCH('Question 4'!$BB20,'Main Data'!$D$1:$AE$1,0))</f>
        <v>193.5</v>
      </c>
      <c r="BJ20" s="35">
        <f t="shared" ref="BJ20:BJ24" si="7">(BI20-BH20)/BH20</f>
        <v>0.11656087709174834</v>
      </c>
      <c r="BL20" s="4" t="s">
        <v>4</v>
      </c>
      <c r="BM20" s="4">
        <f>INDEX('Main Data'!$D$1:$AE$373,MATCH(2020&amp;"March"&amp;"Rural+Urban",'Main Data'!$D$1:$D$373,0),MATCH('Question 4'!$BB20,'Main Data'!$D$1:$AE$1,0))</f>
        <v>171.2</v>
      </c>
      <c r="BN20" s="4">
        <f>INDEX('Main Data'!$D$1:$AE$373,MATCH(2021&amp;'Question 4'!BN$18&amp;"Rural+Urban",'Main Data'!$D$1:$D$373,0),MATCH('Question 4'!$BB20,'Main Data'!$D$1:$AE$1,0))</f>
        <v>188.1</v>
      </c>
      <c r="BO20" s="35">
        <f t="shared" ref="BO20:BO24" si="8">(BN20-BM20)/BM20</f>
        <v>9.8714953271028083E-2</v>
      </c>
    </row>
    <row r="21" spans="41:67" x14ac:dyDescent="0.25">
      <c r="AO21" s="64"/>
      <c r="AP21" s="4" t="s">
        <v>104</v>
      </c>
      <c r="AQ21" s="35">
        <v>6.5797273266152909E-2</v>
      </c>
      <c r="AR21" s="64"/>
      <c r="AS21" s="4" t="s">
        <v>104</v>
      </c>
      <c r="AT21" s="35">
        <v>5.7657657657657624E-2</v>
      </c>
      <c r="AU21" s="64"/>
      <c r="AV21" s="4" t="s">
        <v>104</v>
      </c>
      <c r="AW21" s="35">
        <v>6.4997018485390454E-2</v>
      </c>
      <c r="BB21" s="4" t="s">
        <v>5</v>
      </c>
      <c r="BC21" s="4">
        <f>INDEX('Main Data'!$D$1:$AE$373,MATCH(2020&amp;"march"&amp;"Rural",'Main Data'!$D$1:$D$373,0),MATCH('Question 4'!$BB21,'Main Data'!$D$1:$AE$1,0))</f>
        <v>152.5</v>
      </c>
      <c r="BD21" s="4">
        <f>INDEX('Main Data'!$D$1:$AE$373,MATCH(2021&amp;'Question 4'!BD$18&amp;"Rural",'Main Data'!$D$1:$D$373,0),MATCH('Question 4'!$BB21,'Main Data'!$D$1:$AE$1,0))</f>
        <v>158.9</v>
      </c>
      <c r="BE21" s="35">
        <f t="shared" si="6"/>
        <v>4.1967213114754133E-2</v>
      </c>
      <c r="BG21" s="4" t="s">
        <v>5</v>
      </c>
      <c r="BH21" s="4">
        <f>INDEX('Main Data'!$D$1:$AE$373,MATCH(2020&amp;"March"&amp;"Urban",'Main Data'!$D$1:$D$373,0),MATCH('Question 4'!$BB21,'Main Data'!$D$1:$AE$1,0))</f>
        <v>145.6</v>
      </c>
      <c r="BI21" s="4">
        <f>INDEX('Main Data'!$D$1:$AE$373,MATCH(2021&amp;'Question 4'!BI$18&amp;"Urban",'Main Data'!$D$1:$D$373,0),MATCH('Question 4'!$BB21,'Main Data'!$D$1:$AE$1,0))</f>
        <v>152.6</v>
      </c>
      <c r="BJ21" s="35">
        <f t="shared" si="7"/>
        <v>4.807692307692308E-2</v>
      </c>
      <c r="BL21" s="4" t="s">
        <v>5</v>
      </c>
      <c r="BM21" s="4">
        <f>INDEX('Main Data'!$D$1:$AE$373,MATCH(2020&amp;"March"&amp;"Rural+Urban",'Main Data'!$D$1:$D$373,0),MATCH('Question 4'!$BB21,'Main Data'!$D$1:$AE$1,0))</f>
        <v>149.80000000000001</v>
      </c>
      <c r="BN21" s="4">
        <f>INDEX('Main Data'!$D$1:$AE$373,MATCH(2021&amp;'Question 4'!BN$18&amp;"Rural+Urban",'Main Data'!$D$1:$D$373,0),MATCH('Question 4'!$BB21,'Main Data'!$D$1:$AE$1,0))</f>
        <v>156.4</v>
      </c>
      <c r="BO21" s="35">
        <f t="shared" si="8"/>
        <v>4.4058744993324392E-2</v>
      </c>
    </row>
    <row r="22" spans="41:67" x14ac:dyDescent="0.25">
      <c r="BB22" s="4" t="s">
        <v>6</v>
      </c>
      <c r="BC22" s="4">
        <f>INDEX('Main Data'!$D$1:$AE$373,MATCH(2020&amp;"march"&amp;"Rural",'Main Data'!$D$1:$D$373,0),MATCH('Question 4'!$BB22,'Main Data'!$D$1:$AE$1,0))</f>
        <v>151.5</v>
      </c>
      <c r="BD22" s="4">
        <f>INDEX('Main Data'!$D$1:$AE$373,MATCH(2021&amp;'Question 4'!BD$18&amp;"Rural",'Main Data'!$D$1:$D$373,0),MATCH('Question 4'!$BB22,'Main Data'!$D$1:$AE$1,0))</f>
        <v>154.80000000000001</v>
      </c>
      <c r="BE22" s="35">
        <f t="shared" si="6"/>
        <v>2.1782178217821857E-2</v>
      </c>
      <c r="BG22" s="4" t="s">
        <v>6</v>
      </c>
      <c r="BH22" s="4">
        <f>INDEX('Main Data'!$D$1:$AE$373,MATCH(2020&amp;"March"&amp;"Urban",'Main Data'!$D$1:$D$373,0),MATCH('Question 4'!$BB22,'Main Data'!$D$1:$AE$1,0))</f>
        <v>140.80000000000001</v>
      </c>
      <c r="BI22" s="4">
        <f>INDEX('Main Data'!$D$1:$AE$373,MATCH(2021&amp;'Question 4'!BI$18&amp;"Urban",'Main Data'!$D$1:$D$373,0),MATCH('Question 4'!$BB22,'Main Data'!$D$1:$AE$1,0))</f>
        <v>147.19999999999999</v>
      </c>
      <c r="BJ22" s="35">
        <f t="shared" si="7"/>
        <v>4.5454545454545289E-2</v>
      </c>
      <c r="BL22" s="4" t="s">
        <v>6</v>
      </c>
      <c r="BM22" s="4">
        <f>INDEX('Main Data'!$D$1:$AE$373,MATCH(2020&amp;"March"&amp;"Rural+Urban",'Main Data'!$D$1:$D$373,0),MATCH('Question 4'!$BB22,'Main Data'!$D$1:$AE$1,0))</f>
        <v>146.4</v>
      </c>
      <c r="BN22" s="4">
        <f>INDEX('Main Data'!$D$1:$AE$373,MATCH(2021&amp;'Question 4'!BN$18&amp;"Rural+Urban",'Main Data'!$D$1:$D$373,0),MATCH('Question 4'!$BB22,'Main Data'!$D$1:$AE$1,0))</f>
        <v>151.19999999999999</v>
      </c>
      <c r="BO22" s="35">
        <f t="shared" si="8"/>
        <v>3.2786885245901523E-2</v>
      </c>
    </row>
    <row r="23" spans="41:67" x14ac:dyDescent="0.25">
      <c r="BB23" s="4" t="s">
        <v>46</v>
      </c>
      <c r="BC23" s="4">
        <f>INDEX('Main Data'!$D$1:$AE$373,MATCH(2020&amp;"march"&amp;"Rural",'Main Data'!$D$1:$D$373,0),MATCH('Question 4'!$BB23,'Main Data'!$D$1:$AE$1,0))</f>
        <v>145.1</v>
      </c>
      <c r="BD23" s="4">
        <f>INDEX('Main Data'!$D$1:$AE$373,MATCH(2021&amp;'Question 4'!BD$18&amp;"Rural",'Main Data'!$D$1:$D$373,0),MATCH('Question 4'!$BB23,'Main Data'!$D$1:$AE$1,0))</f>
        <v>153.1</v>
      </c>
      <c r="BE23" s="35">
        <f t="shared" si="6"/>
        <v>5.5134390075809787E-2</v>
      </c>
      <c r="BG23" s="4" t="s">
        <v>46</v>
      </c>
      <c r="BH23" s="4">
        <f>INDEX('Main Data'!$D$1:$AE$373,MATCH(2020&amp;"March"&amp;"Urban",'Main Data'!$D$1:$D$373,0),MATCH('Question 4'!$BB23,'Main Data'!$D$1:$AE$1,0))</f>
        <v>145.30000000000001</v>
      </c>
      <c r="BI23" s="4">
        <f>INDEX('Main Data'!$D$1:$AE$373,MATCH(2021&amp;'Question 4'!BI$18&amp;"Urban",'Main Data'!$D$1:$D$373,0),MATCH('Question 4'!$BB23,'Main Data'!$D$1:$AE$1,0))</f>
        <v>154.9</v>
      </c>
      <c r="BJ23" s="35">
        <f t="shared" si="7"/>
        <v>6.6070199587061215E-2</v>
      </c>
      <c r="BL23" s="4" t="s">
        <v>46</v>
      </c>
      <c r="BM23" s="4">
        <f>INDEX('Main Data'!$D$1:$AE$373,MATCH(2020&amp;"March"&amp;"Rural+Urban",'Main Data'!$D$1:$D$373,0),MATCH('Question 4'!$BB23,'Main Data'!$D$1:$AE$1,0))</f>
        <v>145.19999999999999</v>
      </c>
      <c r="BN23" s="4">
        <f>INDEX('Main Data'!$D$1:$AE$373,MATCH(2021&amp;'Question 4'!BN$18&amp;"Rural+Urban",'Main Data'!$D$1:$D$373,0),MATCH('Question 4'!$BB23,'Main Data'!$D$1:$AE$1,0))</f>
        <v>153.80000000000001</v>
      </c>
      <c r="BO23" s="35">
        <f t="shared" si="8"/>
        <v>5.9228650137741208E-2</v>
      </c>
    </row>
    <row r="24" spans="41:67" x14ac:dyDescent="0.25">
      <c r="BB24" s="4" t="s">
        <v>8</v>
      </c>
      <c r="BC24" s="4">
        <f>INDEX('Main Data'!$D$1:$AE$373,MATCH(2020&amp;"march"&amp;"Rural",'Main Data'!$D$1:$D$373,0),MATCH('Question 4'!$BB24,'Main Data'!$D$1:$AE$1,0))</f>
        <v>148.6</v>
      </c>
      <c r="BD24" s="4">
        <f>INDEX('Main Data'!$D$1:$AE$373,MATCH(2021&amp;'Question 4'!BD$18&amp;"Rural",'Main Data'!$D$1:$D$373,0),MATCH('Question 4'!$BB24,'Main Data'!$D$1:$AE$1,0))</f>
        <v>157.30000000000001</v>
      </c>
      <c r="BE24" s="35">
        <f t="shared" si="6"/>
        <v>5.8546433378196615E-2</v>
      </c>
      <c r="BG24" s="4" t="s">
        <v>8</v>
      </c>
      <c r="BH24" s="4">
        <f>INDEX('Main Data'!$D$1:$AE$373,MATCH(2020&amp;"March"&amp;"Urban",'Main Data'!$D$1:$D$373,0),MATCH('Question 4'!$BB24,'Main Data'!$D$1:$AE$1,0))</f>
        <v>138.69999999999999</v>
      </c>
      <c r="BI24" s="4">
        <f>INDEX('Main Data'!$D$1:$AE$373,MATCH(2021&amp;'Question 4'!BI$18&amp;"Urban",'Main Data'!$D$1:$D$373,0),MATCH('Question 4'!$BB24,'Main Data'!$D$1:$AE$1,0))</f>
        <v>150</v>
      </c>
      <c r="BJ24" s="35">
        <f t="shared" si="7"/>
        <v>8.1470800288392306E-2</v>
      </c>
      <c r="BL24" s="4" t="s">
        <v>8</v>
      </c>
      <c r="BM24" s="4">
        <f>INDEX('Main Data'!$D$1:$AE$373,MATCH(2020&amp;"March"&amp;"Rural+Urban",'Main Data'!$D$1:$D$373,0),MATCH('Question 4'!$BB24,'Main Data'!$D$1:$AE$1,0))</f>
        <v>143.80000000000001</v>
      </c>
      <c r="BN24" s="4">
        <f>INDEX('Main Data'!$D$1:$AE$373,MATCH(2021&amp;'Question 4'!BN$18&amp;"Rural+Urban",'Main Data'!$D$1:$D$373,0),MATCH('Question 4'!$BB24,'Main Data'!$D$1:$AE$1,0))</f>
        <v>153.80000000000001</v>
      </c>
      <c r="BO24" s="35">
        <f t="shared" si="8"/>
        <v>6.9541029207232263E-2</v>
      </c>
    </row>
    <row r="25" spans="41:67" x14ac:dyDescent="0.25">
      <c r="BB25" s="21" t="s">
        <v>109</v>
      </c>
      <c r="BG25" s="21" t="s">
        <v>113</v>
      </c>
      <c r="BL25" s="21" t="s">
        <v>113</v>
      </c>
    </row>
    <row r="26" spans="41:67" x14ac:dyDescent="0.25">
      <c r="BB26" s="58" t="s">
        <v>105</v>
      </c>
      <c r="BC26" s="58" t="s">
        <v>16</v>
      </c>
      <c r="BD26" s="58" t="s">
        <v>15</v>
      </c>
      <c r="BE26" s="58" t="s">
        <v>62</v>
      </c>
      <c r="BG26" s="58" t="s">
        <v>105</v>
      </c>
      <c r="BH26" s="58" t="s">
        <v>16</v>
      </c>
      <c r="BI26" s="58" t="s">
        <v>15</v>
      </c>
      <c r="BJ26" s="58" t="s">
        <v>62</v>
      </c>
      <c r="BL26" s="58" t="s">
        <v>105</v>
      </c>
      <c r="BM26" s="58" t="s">
        <v>16</v>
      </c>
      <c r="BN26" s="58" t="s">
        <v>15</v>
      </c>
      <c r="BO26" s="58" t="s">
        <v>62</v>
      </c>
    </row>
    <row r="27" spans="41:67" x14ac:dyDescent="0.25">
      <c r="BB27" s="4" t="s">
        <v>3</v>
      </c>
      <c r="BC27" s="4">
        <f>INDEX('Main Data'!$D$1:$AE$373,MATCH(2021&amp;BC$26&amp;"Rural",'Main Data'!$D$1:$D$373,0),MATCH('Question 4'!$BB27,'Main Data'!$D$1:$AE$1,0))</f>
        <v>155.6</v>
      </c>
      <c r="BD27" s="4">
        <f>INDEX('Main Data'!$D$1:$AE$373,MATCH(2022&amp;'Question 4'!BD$18&amp;"Rural",'Main Data'!$D$1:$D$373,0),MATCH('Question 4'!$BB27,'Main Data'!$D$1:$AE$1,0))</f>
        <v>166.6</v>
      </c>
      <c r="BE27" s="35">
        <f>(BD27-BC27)/BC27</f>
        <v>7.0694087403598976E-2</v>
      </c>
      <c r="BG27" s="4" t="s">
        <v>3</v>
      </c>
      <c r="BH27" s="4">
        <f>INDEX('Main Data'!$D$1:$AE$373,MATCH(2021&amp;BH$26&amp;"Urban",'Main Data'!$D$1:$D$373,0),MATCH('Question 4'!$BB27,'Main Data'!$D$1:$AE$1,0))</f>
        <v>162</v>
      </c>
      <c r="BI27" s="4">
        <f>INDEX('Main Data'!$D$1:$AE$373,MATCH(2022&amp;'Question 4'!BI$18&amp;"urban",'Main Data'!$D$1:$D$373,0),MATCH('Question 4'!$BB27,'Main Data'!$D$1:$AE$1,0))</f>
        <v>171.5</v>
      </c>
      <c r="BJ27" s="35">
        <f>(BI27-BH27)/BH27</f>
        <v>5.8641975308641972E-2</v>
      </c>
      <c r="BL27" s="4" t="s">
        <v>3</v>
      </c>
      <c r="BM27" s="4">
        <f>INDEX('Main Data'!$D$1:$AE$373,MATCH(2021&amp;BM$26&amp;"Rural+Urban",'Main Data'!$D$1:$D$373,0),MATCH('Question 4'!$BB27,'Main Data'!$D$1:$AE$1,0))</f>
        <v>158</v>
      </c>
      <c r="BN27" s="4">
        <f>INDEX('Main Data'!$D$1:$AE$373,MATCH(2022&amp;'Question 4'!BN$18&amp;"Rural+urban",'Main Data'!$D$1:$D$373,0),MATCH('Question 4'!$BB27,'Main Data'!$D$1:$AE$1,0))</f>
        <v>168.4</v>
      </c>
      <c r="BO27" s="35">
        <f>(BN27-BM27)/BM27</f>
        <v>6.5822784810126614E-2</v>
      </c>
    </row>
    <row r="28" spans="41:67" x14ac:dyDescent="0.25">
      <c r="BB28" s="4" t="s">
        <v>4</v>
      </c>
      <c r="BC28" s="4">
        <f>INDEX('Main Data'!$D$1:$AE$373,MATCH(2021&amp;BC$26&amp;"Rural",'Main Data'!$D$1:$D$373,0),MATCH('Question 4'!$BB28,'Main Data'!$D$1:$AE$1,0))</f>
        <v>186.8</v>
      </c>
      <c r="BD28" s="4">
        <f>INDEX('Main Data'!$D$1:$AE$373,MATCH(2022&amp;'Question 4'!BD$18&amp;"Rural",'Main Data'!$D$1:$D$373,0),MATCH('Question 4'!$BB28,'Main Data'!$D$1:$AE$1,0))</f>
        <v>192.3</v>
      </c>
      <c r="BE28" s="35">
        <f t="shared" ref="BE28:BE32" si="9">(BD28-BC28)/BC28</f>
        <v>2.9443254817987149E-2</v>
      </c>
      <c r="BG28" s="4" t="s">
        <v>4</v>
      </c>
      <c r="BH28" s="4">
        <f>INDEX('Main Data'!$D$1:$AE$373,MATCH(2021&amp;BH$26&amp;"Urban",'Main Data'!$D$1:$D$373,0),MATCH('Question 4'!$BB28,'Main Data'!$D$1:$AE$1,0))</f>
        <v>194.4</v>
      </c>
      <c r="BI28" s="4">
        <f>INDEX('Main Data'!$D$1:$AE$373,MATCH(2022&amp;'Question 4'!BI$18&amp;"urban",'Main Data'!$D$1:$D$373,0),MATCH('Question 4'!$BB28,'Main Data'!$D$1:$AE$1,0))</f>
        <v>197.5</v>
      </c>
      <c r="BJ28" s="35">
        <f t="shared" ref="BJ28:BJ32" si="10">(BI28-BH28)/BH28</f>
        <v>1.5946502057613138E-2</v>
      </c>
      <c r="BL28" s="4" t="s">
        <v>4</v>
      </c>
      <c r="BM28" s="4">
        <f>INDEX('Main Data'!$D$1:$AE$373,MATCH(2021&amp;BM$26&amp;"Rural+Urban",'Main Data'!$D$1:$D$373,0),MATCH('Question 4'!$BB28,'Main Data'!$D$1:$AE$1,0))</f>
        <v>188.8</v>
      </c>
      <c r="BN28" s="4">
        <f>INDEX('Main Data'!$D$1:$AE$373,MATCH(2022&amp;'Question 4'!BN$18&amp;"Rural+urban",'Main Data'!$D$1:$D$373,0),MATCH('Question 4'!$BB28,'Main Data'!$D$1:$AE$1,0))</f>
        <v>193.7</v>
      </c>
      <c r="BO28" s="35">
        <f t="shared" ref="BO28:BO32" si="11">(BN28-BM28)/BM28</f>
        <v>2.5953389830508353E-2</v>
      </c>
    </row>
    <row r="29" spans="41:67" x14ac:dyDescent="0.25">
      <c r="BB29" s="4" t="s">
        <v>5</v>
      </c>
      <c r="BC29" s="4">
        <f>INDEX('Main Data'!$D$1:$AE$373,MATCH(2021&amp;BC$26&amp;"Rural",'Main Data'!$D$1:$D$373,0),MATCH('Question 4'!$BB29,'Main Data'!$D$1:$AE$1,0))</f>
        <v>159.9</v>
      </c>
      <c r="BD29" s="4">
        <f>INDEX('Main Data'!$D$1:$AE$373,MATCH(2022&amp;'Question 4'!BD$18&amp;"Rural",'Main Data'!$D$1:$D$373,0),MATCH('Question 4'!$BB29,'Main Data'!$D$1:$AE$1,0))</f>
        <v>175.1</v>
      </c>
      <c r="BE29" s="35">
        <f t="shared" si="9"/>
        <v>9.5059412132582788E-2</v>
      </c>
      <c r="BG29" s="4" t="s">
        <v>5</v>
      </c>
      <c r="BH29" s="4">
        <f>INDEX('Main Data'!$D$1:$AE$373,MATCH(2021&amp;BH$26&amp;"Urban",'Main Data'!$D$1:$D$373,0),MATCH('Question 4'!$BB29,'Main Data'!$D$1:$AE$1,0))</f>
        <v>153.4</v>
      </c>
      <c r="BI29" s="4">
        <f>INDEX('Main Data'!$D$1:$AE$373,MATCH(2022&amp;'Question 4'!BI$18&amp;"urban",'Main Data'!$D$1:$D$373,0),MATCH('Question 4'!$BB29,'Main Data'!$D$1:$AE$1,0))</f>
        <v>164.9</v>
      </c>
      <c r="BJ29" s="35">
        <f t="shared" si="10"/>
        <v>7.4967405475880045E-2</v>
      </c>
      <c r="BL29" s="4" t="s">
        <v>5</v>
      </c>
      <c r="BM29" s="4">
        <f>INDEX('Main Data'!$D$1:$AE$373,MATCH(2021&amp;BM$26&amp;"Rural+Urban",'Main Data'!$D$1:$D$373,0),MATCH('Question 4'!$BB29,'Main Data'!$D$1:$AE$1,0))</f>
        <v>157.30000000000001</v>
      </c>
      <c r="BN29" s="4">
        <f>INDEX('Main Data'!$D$1:$AE$373,MATCH(2022&amp;'Question 4'!BN$18&amp;"Rural+urban",'Main Data'!$D$1:$D$373,0),MATCH('Question 4'!$BB29,'Main Data'!$D$1:$AE$1,0))</f>
        <v>171.1</v>
      </c>
      <c r="BO29" s="35">
        <f t="shared" si="11"/>
        <v>8.7730451366814885E-2</v>
      </c>
    </row>
    <row r="30" spans="41:67" x14ac:dyDescent="0.25">
      <c r="BB30" s="4" t="s">
        <v>6</v>
      </c>
      <c r="BC30" s="4">
        <f>INDEX('Main Data'!$D$1:$AE$373,MATCH(2021&amp;BC$26&amp;"Rural",'Main Data'!$D$1:$D$373,0),MATCH('Question 4'!$BB30,'Main Data'!$D$1:$AE$1,0))</f>
        <v>155.5</v>
      </c>
      <c r="BD30" s="4">
        <f>INDEX('Main Data'!$D$1:$AE$373,MATCH(2022&amp;'Question 4'!BD$18&amp;"Rural",'Main Data'!$D$1:$D$373,0),MATCH('Question 4'!$BB30,'Main Data'!$D$1:$AE$1,0))</f>
        <v>166.5</v>
      </c>
      <c r="BE30" s="35">
        <f t="shared" si="9"/>
        <v>7.0739549839228297E-2</v>
      </c>
      <c r="BG30" s="4" t="s">
        <v>6</v>
      </c>
      <c r="BH30" s="4">
        <f>INDEX('Main Data'!$D$1:$AE$373,MATCH(2021&amp;BH$26&amp;"Urban",'Main Data'!$D$1:$D$373,0),MATCH('Question 4'!$BB30,'Main Data'!$D$1:$AE$1,0))</f>
        <v>147.6</v>
      </c>
      <c r="BI30" s="4">
        <f>INDEX('Main Data'!$D$1:$AE$373,MATCH(2022&amp;'Question 4'!BI$18&amp;"urban",'Main Data'!$D$1:$D$373,0),MATCH('Question 4'!$BB30,'Main Data'!$D$1:$AE$1,0))</f>
        <v>158.6</v>
      </c>
      <c r="BJ30" s="35">
        <f t="shared" si="10"/>
        <v>7.4525745257452577E-2</v>
      </c>
      <c r="BL30" s="4" t="s">
        <v>6</v>
      </c>
      <c r="BM30" s="4">
        <f>INDEX('Main Data'!$D$1:$AE$373,MATCH(2021&amp;BM$26&amp;"Rural+Urban",'Main Data'!$D$1:$D$373,0),MATCH('Question 4'!$BB30,'Main Data'!$D$1:$AE$1,0))</f>
        <v>151.80000000000001</v>
      </c>
      <c r="BN30" s="4">
        <f>INDEX('Main Data'!$D$1:$AE$373,MATCH(2022&amp;'Question 4'!BN$18&amp;"Rural+urban",'Main Data'!$D$1:$D$373,0),MATCH('Question 4'!$BB30,'Main Data'!$D$1:$AE$1,0))</f>
        <v>162.80000000000001</v>
      </c>
      <c r="BO30" s="35">
        <f t="shared" si="11"/>
        <v>7.2463768115942018E-2</v>
      </c>
    </row>
    <row r="31" spans="41:67" x14ac:dyDescent="0.25">
      <c r="BB31" s="4" t="s">
        <v>46</v>
      </c>
      <c r="BC31" s="4">
        <f>INDEX('Main Data'!$D$1:$AE$373,MATCH(2021&amp;BC$26&amp;"Rural",'Main Data'!$D$1:$D$373,0),MATCH('Question 4'!$BB31,'Main Data'!$D$1:$AE$1,0))</f>
        <v>154.6</v>
      </c>
      <c r="BD31" s="4">
        <f>INDEX('Main Data'!$D$1:$AE$373,MATCH(2022&amp;'Question 4'!BD$18&amp;"Rural",'Main Data'!$D$1:$D$373,0),MATCH('Question 4'!$BB31,'Main Data'!$D$1:$AE$1,0))</f>
        <v>167.4</v>
      </c>
      <c r="BE31" s="35">
        <f t="shared" si="9"/>
        <v>8.2794307891332547E-2</v>
      </c>
      <c r="BG31" s="4" t="s">
        <v>46</v>
      </c>
      <c r="BH31" s="4">
        <f>INDEX('Main Data'!$D$1:$AE$373,MATCH(2021&amp;BH$26&amp;"Urban",'Main Data'!$D$1:$D$373,0),MATCH('Question 4'!$BB31,'Main Data'!$D$1:$AE$1,0))</f>
        <v>156.6</v>
      </c>
      <c r="BI31" s="4">
        <f>INDEX('Main Data'!$D$1:$AE$373,MATCH(2022&amp;'Question 4'!BI$18&amp;"urban",'Main Data'!$D$1:$D$373,0),MATCH('Question 4'!$BB31,'Main Data'!$D$1:$AE$1,0))</f>
        <v>166.8</v>
      </c>
      <c r="BJ31" s="35">
        <f t="shared" si="10"/>
        <v>6.5134099616858343E-2</v>
      </c>
      <c r="BL31" s="4" t="s">
        <v>46</v>
      </c>
      <c r="BM31" s="4">
        <f>INDEX('Main Data'!$D$1:$AE$373,MATCH(2021&amp;BM$26&amp;"Rural+Urban",'Main Data'!$D$1:$D$373,0),MATCH('Question 4'!$BB31,'Main Data'!$D$1:$AE$1,0))</f>
        <v>155.4</v>
      </c>
      <c r="BN31" s="4">
        <f>INDEX('Main Data'!$D$1:$AE$373,MATCH(2022&amp;'Question 4'!BN$18&amp;"Rural+urban",'Main Data'!$D$1:$D$373,0),MATCH('Question 4'!$BB31,'Main Data'!$D$1:$AE$1,0))</f>
        <v>167.2</v>
      </c>
      <c r="BO31" s="35">
        <f t="shared" si="11"/>
        <v>7.5933075933075814E-2</v>
      </c>
    </row>
    <row r="32" spans="41:67" x14ac:dyDescent="0.25">
      <c r="BB32" s="4" t="s">
        <v>8</v>
      </c>
      <c r="BC32" s="4">
        <f>INDEX('Main Data'!$D$1:$AE$373,MATCH(2021&amp;BC$26&amp;"Rural",'Main Data'!$D$1:$D$373,0),MATCH('Question 4'!$BB32,'Main Data'!$D$1:$AE$1,0))</f>
        <v>158</v>
      </c>
      <c r="BD32" s="4">
        <f>INDEX('Main Data'!$D$1:$AE$373,MATCH(2022&amp;'Question 4'!BD$18&amp;"Rural",'Main Data'!$D$1:$D$373,0),MATCH('Question 4'!$BB32,'Main Data'!$D$1:$AE$1,0))</f>
        <v>168.3</v>
      </c>
      <c r="BE32" s="35">
        <f t="shared" si="9"/>
        <v>6.5189873417721589E-2</v>
      </c>
      <c r="BG32" s="4" t="s">
        <v>8</v>
      </c>
      <c r="BH32" s="4">
        <f>INDEX('Main Data'!$D$1:$AE$373,MATCH(2021&amp;BH$26&amp;"Urban",'Main Data'!$D$1:$D$373,0),MATCH('Question 4'!$BB32,'Main Data'!$D$1:$AE$1,0))</f>
        <v>150.5</v>
      </c>
      <c r="BI32" s="4">
        <f>INDEX('Main Data'!$D$1:$AE$373,MATCH(2022&amp;'Question 4'!BI$18&amp;"urban",'Main Data'!$D$1:$D$373,0),MATCH('Question 4'!$BB32,'Main Data'!$D$1:$AE$1,0))</f>
        <v>160.6</v>
      </c>
      <c r="BJ32" s="35">
        <f t="shared" si="10"/>
        <v>6.7109634551494976E-2</v>
      </c>
      <c r="BL32" s="4" t="s">
        <v>8</v>
      </c>
      <c r="BM32" s="4">
        <f>INDEX('Main Data'!$D$1:$AE$373,MATCH(2021&amp;BM$26&amp;"Rural+Urban",'Main Data'!$D$1:$D$373,0),MATCH('Question 4'!$BB32,'Main Data'!$D$1:$AE$1,0))</f>
        <v>154.4</v>
      </c>
      <c r="BN32" s="4">
        <f>INDEX('Main Data'!$D$1:$AE$373,MATCH(2022&amp;'Question 4'!BN$18&amp;"Rural+urban",'Main Data'!$D$1:$D$373,0),MATCH('Question 4'!$BB32,'Main Data'!$D$1:$AE$1,0))</f>
        <v>164.6</v>
      </c>
      <c r="BO32" s="35">
        <f t="shared" si="11"/>
        <v>6.6062176165803038E-2</v>
      </c>
    </row>
    <row r="33" spans="54:60" x14ac:dyDescent="0.25">
      <c r="BB33" s="21" t="s">
        <v>9</v>
      </c>
    </row>
    <row r="34" spans="54:60" x14ac:dyDescent="0.25">
      <c r="BB34" s="57" t="s">
        <v>92</v>
      </c>
      <c r="BC34" s="57" t="s">
        <v>3</v>
      </c>
      <c r="BD34" s="57" t="s">
        <v>4</v>
      </c>
      <c r="BE34" s="57" t="s">
        <v>5</v>
      </c>
      <c r="BF34" s="57" t="s">
        <v>6</v>
      </c>
      <c r="BG34" s="57" t="s">
        <v>46</v>
      </c>
      <c r="BH34" s="57" t="s">
        <v>8</v>
      </c>
    </row>
    <row r="35" spans="54:60" x14ac:dyDescent="0.25">
      <c r="BB35" s="4" t="s">
        <v>101</v>
      </c>
      <c r="BC35" s="35">
        <v>-1.0101010101010142E-2</v>
      </c>
      <c r="BD35" s="35">
        <v>4.9645390070922099E-2</v>
      </c>
      <c r="BE35" s="35">
        <v>1.0788941335131452E-2</v>
      </c>
      <c r="BF35" s="35">
        <v>7.2909220872051386E-2</v>
      </c>
      <c r="BG35" s="35">
        <v>4.3310131477184793E-2</v>
      </c>
      <c r="BH35" s="35">
        <v>6.6766691672918058E-2</v>
      </c>
    </row>
    <row r="36" spans="54:60" x14ac:dyDescent="0.25">
      <c r="BB36" s="4" t="s">
        <v>102</v>
      </c>
      <c r="BC36" s="35">
        <v>9.1041514930808434E-2</v>
      </c>
      <c r="BD36" s="35">
        <v>3.9901780233271941E-2</v>
      </c>
      <c r="BE36" s="35">
        <v>1.4656895403064737E-2</v>
      </c>
      <c r="BF36" s="35">
        <v>1.2000000000000077E-2</v>
      </c>
      <c r="BG36" s="35">
        <v>7.0149253731343328E-2</v>
      </c>
      <c r="BH36" s="35">
        <v>4.2134831460674156E-2</v>
      </c>
    </row>
    <row r="37" spans="54:60" x14ac:dyDescent="0.25">
      <c r="BB37" s="4" t="s">
        <v>103</v>
      </c>
      <c r="BC37" s="35">
        <v>4.2510121457489961E-2</v>
      </c>
      <c r="BD37" s="35">
        <v>9.1495601173020497E-2</v>
      </c>
      <c r="BE37" s="35">
        <v>4.1967213114754133E-2</v>
      </c>
      <c r="BF37" s="35">
        <v>2.1782178217821857E-2</v>
      </c>
      <c r="BG37" s="35">
        <v>5.5134390075809787E-2</v>
      </c>
      <c r="BH37" s="35">
        <v>5.8546433378196615E-2</v>
      </c>
    </row>
    <row r="38" spans="54:60" x14ac:dyDescent="0.25">
      <c r="BB38" s="4" t="s">
        <v>104</v>
      </c>
      <c r="BC38" s="35">
        <v>7.0694087403598976E-2</v>
      </c>
      <c r="BD38" s="35">
        <v>2.9443254817987149E-2</v>
      </c>
      <c r="BE38" s="35">
        <v>9.5059412132582788E-2</v>
      </c>
      <c r="BF38" s="35">
        <v>7.0739549839228297E-2</v>
      </c>
      <c r="BG38" s="35">
        <v>8.2794307891332547E-2</v>
      </c>
      <c r="BH38" s="35">
        <v>6.5189873417721589E-2</v>
      </c>
    </row>
    <row r="40" spans="54:60" x14ac:dyDescent="0.25">
      <c r="BB40" s="21" t="s">
        <v>11</v>
      </c>
    </row>
    <row r="41" spans="54:60" x14ac:dyDescent="0.25">
      <c r="BB41" s="57" t="s">
        <v>92</v>
      </c>
      <c r="BC41" s="57" t="s">
        <v>3</v>
      </c>
      <c r="BD41" s="57" t="s">
        <v>4</v>
      </c>
      <c r="BE41" s="57" t="s">
        <v>5</v>
      </c>
      <c r="BF41" s="57" t="s">
        <v>6</v>
      </c>
      <c r="BG41" s="57" t="s">
        <v>46</v>
      </c>
      <c r="BH41" s="57" t="s">
        <v>8</v>
      </c>
    </row>
    <row r="42" spans="54:60" x14ac:dyDescent="0.25">
      <c r="BB42" s="4" t="s">
        <v>101</v>
      </c>
      <c r="BC42" s="35">
        <v>2.3738872403560745E-2</v>
      </c>
      <c r="BD42" s="35">
        <v>3.2561051972448449E-2</v>
      </c>
      <c r="BE42" s="35">
        <v>4.5857988165680603E-2</v>
      </c>
      <c r="BF42" s="35">
        <v>4.4342507645259807E-2</v>
      </c>
      <c r="BG42" s="35">
        <v>4.9723756906077325E-2</v>
      </c>
      <c r="BH42" s="35">
        <v>4.1699449252557134E-2</v>
      </c>
    </row>
    <row r="43" spans="54:60" x14ac:dyDescent="0.25">
      <c r="BB43" s="4" t="s">
        <v>102</v>
      </c>
      <c r="BC43" s="35">
        <v>8.6676217765042946E-2</v>
      </c>
      <c r="BD43" s="35">
        <v>4.0532365396249173E-2</v>
      </c>
      <c r="BE43" s="35">
        <v>2.5423728813559282E-2</v>
      </c>
      <c r="BF43" s="35">
        <v>2.6315789473684167E-2</v>
      </c>
      <c r="BG43" s="35">
        <v>8.3018867924528297E-2</v>
      </c>
      <c r="BH43" s="35">
        <v>4.2168674698795136E-2</v>
      </c>
    </row>
    <row r="44" spans="54:60" x14ac:dyDescent="0.25">
      <c r="BB44" s="4" t="s">
        <v>103</v>
      </c>
      <c r="BC44" s="35">
        <v>6.862091938707536E-2</v>
      </c>
      <c r="BD44" s="35">
        <v>0.11656087709174834</v>
      </c>
      <c r="BE44" s="35">
        <v>4.807692307692308E-2</v>
      </c>
      <c r="BF44" s="35">
        <v>4.5454545454545289E-2</v>
      </c>
      <c r="BG44" s="35">
        <v>6.6070199587061215E-2</v>
      </c>
      <c r="BH44" s="35">
        <v>8.1470800288392306E-2</v>
      </c>
    </row>
    <row r="45" spans="54:60" x14ac:dyDescent="0.25">
      <c r="BB45" s="4" t="s">
        <v>104</v>
      </c>
      <c r="BC45" s="35">
        <v>5.8641975308641972E-2</v>
      </c>
      <c r="BD45" s="35">
        <v>1.5946502057613138E-2</v>
      </c>
      <c r="BE45" s="35">
        <v>7.4967405475880045E-2</v>
      </c>
      <c r="BF45" s="35">
        <v>7.4525745257452577E-2</v>
      </c>
      <c r="BG45" s="35">
        <v>6.5134099616858343E-2</v>
      </c>
      <c r="BH45" s="35">
        <v>6.7109634551494976E-2</v>
      </c>
    </row>
    <row r="47" spans="54:60" x14ac:dyDescent="0.25">
      <c r="BB47" s="21" t="s">
        <v>12</v>
      </c>
    </row>
    <row r="48" spans="54:60" x14ac:dyDescent="0.25">
      <c r="BB48" s="57" t="s">
        <v>92</v>
      </c>
      <c r="BC48" s="57" t="s">
        <v>3</v>
      </c>
      <c r="BD48" s="57" t="s">
        <v>4</v>
      </c>
      <c r="BE48" s="57" t="s">
        <v>5</v>
      </c>
      <c r="BF48" s="57" t="s">
        <v>6</v>
      </c>
      <c r="BG48" s="57" t="s">
        <v>46</v>
      </c>
      <c r="BH48" s="57" t="s">
        <v>8</v>
      </c>
    </row>
    <row r="49" spans="54:60" x14ac:dyDescent="0.25">
      <c r="BB49" s="4" t="s">
        <v>101</v>
      </c>
      <c r="BC49" s="35">
        <v>2.1865889212828817E-3</v>
      </c>
      <c r="BD49" s="35">
        <v>4.5425463851567462E-2</v>
      </c>
      <c r="BE49" s="35">
        <v>2.3759608665269084E-2</v>
      </c>
      <c r="BF49" s="35">
        <v>5.9734513274336244E-2</v>
      </c>
      <c r="BG49" s="35">
        <v>4.6021840873634992E-2</v>
      </c>
      <c r="BH49" s="35">
        <v>5.448963929393702E-2</v>
      </c>
    </row>
    <row r="50" spans="54:60" x14ac:dyDescent="0.25">
      <c r="BB50" s="4" t="s">
        <v>102</v>
      </c>
      <c r="BC50" s="35">
        <v>8.9790007241129663E-2</v>
      </c>
      <c r="BD50" s="35">
        <v>4.0366972477064188E-2</v>
      </c>
      <c r="BE50" s="35">
        <v>1.9086571233810575E-2</v>
      </c>
      <c r="BF50" s="35">
        <v>1.8080667593880349E-2</v>
      </c>
      <c r="BG50" s="35">
        <v>7.4962518740629688E-2</v>
      </c>
      <c r="BH50" s="35">
        <v>4.2846768336964464E-2</v>
      </c>
    </row>
    <row r="51" spans="54:60" x14ac:dyDescent="0.25">
      <c r="BB51" s="4" t="s">
        <v>103</v>
      </c>
      <c r="BC51" s="35">
        <v>5.2384150436534473E-2</v>
      </c>
      <c r="BD51" s="35">
        <v>9.8714953271028083E-2</v>
      </c>
      <c r="BE51" s="35">
        <v>4.4058744993324392E-2</v>
      </c>
      <c r="BF51" s="35">
        <v>3.2786885245901523E-2</v>
      </c>
      <c r="BG51" s="35">
        <v>5.9228650137741208E-2</v>
      </c>
      <c r="BH51" s="35">
        <v>6.9541029207232263E-2</v>
      </c>
    </row>
    <row r="52" spans="54:60" x14ac:dyDescent="0.25">
      <c r="BB52" s="4" t="s">
        <v>104</v>
      </c>
      <c r="BC52" s="35">
        <v>6.5822784810126614E-2</v>
      </c>
      <c r="BD52" s="35">
        <v>2.5953389830508353E-2</v>
      </c>
      <c r="BE52" s="35">
        <v>8.7730451366814885E-2</v>
      </c>
      <c r="BF52" s="35">
        <v>7.2463768115942018E-2</v>
      </c>
      <c r="BG52" s="35">
        <v>7.5933075933075814E-2</v>
      </c>
      <c r="BH52" s="35">
        <v>6.6062176165803038E-2</v>
      </c>
    </row>
  </sheetData>
  <mergeCells count="6">
    <mergeCell ref="AO18:AO19"/>
    <mergeCell ref="AO20:AO21"/>
    <mergeCell ref="AR18:AR19"/>
    <mergeCell ref="AR20:AR21"/>
    <mergeCell ref="AU18:AU19"/>
    <mergeCell ref="AU20:AU2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A5F60-1F72-4979-8227-E059D61AA63B}">
  <dimension ref="A5:AV36"/>
  <sheetViews>
    <sheetView zoomScale="94" workbookViewId="0">
      <selection activeCell="K12" sqref="K12"/>
    </sheetView>
  </sheetViews>
  <sheetFormatPr defaultRowHeight="15" x14ac:dyDescent="0.25"/>
  <cols>
    <col min="9" max="9" width="26" customWidth="1"/>
    <col min="10" max="10" width="15" bestFit="1" customWidth="1"/>
    <col min="11" max="11" width="33.28515625" bestFit="1" customWidth="1"/>
    <col min="12" max="12" width="13.7109375" bestFit="1" customWidth="1"/>
    <col min="13" max="13" width="20.5703125" bestFit="1" customWidth="1"/>
    <col min="14" max="14" width="13.7109375" customWidth="1"/>
    <col min="15" max="15" width="15" bestFit="1" customWidth="1"/>
    <col min="16" max="16" width="12.42578125" bestFit="1" customWidth="1"/>
    <col min="17" max="17" width="13.7109375" bestFit="1" customWidth="1"/>
    <col min="18" max="18" width="11.140625" bestFit="1" customWidth="1"/>
    <col min="19" max="19" width="10" bestFit="1" customWidth="1"/>
    <col min="20" max="20" width="9.42578125" bestFit="1" customWidth="1"/>
    <col min="21" max="21" width="9.85546875" bestFit="1" customWidth="1"/>
    <col min="22" max="22" width="12.85546875" bestFit="1" customWidth="1"/>
    <col min="23" max="23" width="15.28515625" bestFit="1" customWidth="1"/>
    <col min="24" max="24" width="15" bestFit="1" customWidth="1"/>
    <col min="25" max="25" width="12.85546875" bestFit="1" customWidth="1"/>
    <col min="26" max="26" width="15.28515625" bestFit="1" customWidth="1"/>
    <col min="27" max="27" width="15" bestFit="1" customWidth="1"/>
    <col min="28" max="28" width="12.42578125" bestFit="1" customWidth="1"/>
    <col min="29" max="29" width="13.7109375" bestFit="1" customWidth="1"/>
    <col min="30" max="30" width="11.140625" bestFit="1" customWidth="1"/>
    <col min="31" max="31" width="10" bestFit="1" customWidth="1"/>
    <col min="32" max="32" width="9.42578125" bestFit="1" customWidth="1"/>
    <col min="33" max="33" width="9.85546875" bestFit="1" customWidth="1"/>
    <col min="34" max="34" width="9.140625" bestFit="1" customWidth="1"/>
    <col min="35" max="35" width="11.85546875" bestFit="1" customWidth="1"/>
    <col min="36" max="36" width="15.7109375" bestFit="1" customWidth="1"/>
    <col min="37" max="37" width="12.85546875" bestFit="1" customWidth="1"/>
    <col min="38" max="38" width="15.28515625" bestFit="1" customWidth="1"/>
    <col min="39" max="39" width="15" bestFit="1" customWidth="1"/>
  </cols>
  <sheetData>
    <row r="5" spans="1:48" x14ac:dyDescent="0.25">
      <c r="N5" s="41" t="s">
        <v>2</v>
      </c>
      <c r="O5" s="42">
        <v>44166</v>
      </c>
      <c r="P5" s="43">
        <v>44197</v>
      </c>
      <c r="Q5" s="43">
        <v>44228</v>
      </c>
      <c r="R5" s="43">
        <v>44256</v>
      </c>
      <c r="S5" s="43">
        <v>44287</v>
      </c>
      <c r="T5" s="43">
        <v>44317</v>
      </c>
      <c r="U5" s="43">
        <v>44348</v>
      </c>
      <c r="V5" s="43">
        <v>44378</v>
      </c>
      <c r="W5" s="43">
        <v>44409</v>
      </c>
      <c r="X5" s="43">
        <v>44440</v>
      </c>
      <c r="Y5" s="43">
        <v>44470</v>
      </c>
      <c r="Z5" s="43">
        <v>44501</v>
      </c>
      <c r="AA5" s="43">
        <v>44531</v>
      </c>
      <c r="AB5" s="43">
        <v>44562</v>
      </c>
      <c r="AC5" s="43">
        <v>44593</v>
      </c>
      <c r="AD5" s="43">
        <v>44621</v>
      </c>
      <c r="AE5" s="43">
        <v>44652</v>
      </c>
      <c r="AF5" s="43">
        <v>44682</v>
      </c>
      <c r="AG5" s="43">
        <v>44713</v>
      </c>
      <c r="AH5" s="43">
        <v>44743</v>
      </c>
      <c r="AI5" s="43">
        <v>44774</v>
      </c>
      <c r="AJ5" s="43">
        <v>44805</v>
      </c>
      <c r="AK5" s="43">
        <v>44835</v>
      </c>
      <c r="AL5" s="43">
        <v>44866</v>
      </c>
      <c r="AM5" s="43">
        <v>44896</v>
      </c>
      <c r="AN5" s="46"/>
      <c r="AO5" s="46"/>
      <c r="AP5" s="46"/>
      <c r="AQ5" s="46"/>
      <c r="AR5" s="46"/>
      <c r="AS5" s="46"/>
      <c r="AT5" s="46"/>
      <c r="AU5" s="46"/>
      <c r="AV5" s="46"/>
    </row>
    <row r="6" spans="1:48" ht="30" x14ac:dyDescent="0.25">
      <c r="N6" s="41" t="s">
        <v>116</v>
      </c>
      <c r="O6" s="44">
        <v>43.92</v>
      </c>
      <c r="P6" s="45">
        <v>49.47</v>
      </c>
      <c r="Q6" s="45">
        <v>56.44</v>
      </c>
      <c r="R6" s="45">
        <v>60.43</v>
      </c>
      <c r="S6" s="45">
        <v>59.87</v>
      </c>
      <c r="T6" s="45">
        <v>62.8</v>
      </c>
      <c r="U6" s="45">
        <v>68.58</v>
      </c>
      <c r="V6" s="45">
        <v>70.12</v>
      </c>
      <c r="W6" s="45">
        <v>65.680000000000007</v>
      </c>
      <c r="X6" s="45">
        <v>69.09</v>
      </c>
      <c r="Y6" s="45">
        <v>78.510000000000005</v>
      </c>
      <c r="Z6" s="45">
        <v>76.45</v>
      </c>
      <c r="AA6" s="45">
        <v>70.56</v>
      </c>
      <c r="AB6" s="45">
        <v>80.33</v>
      </c>
      <c r="AC6" s="45">
        <v>89.41</v>
      </c>
      <c r="AD6" s="45">
        <v>107.07</v>
      </c>
      <c r="AE6" s="45">
        <v>103.34</v>
      </c>
      <c r="AF6" s="45">
        <v>108.29</v>
      </c>
      <c r="AG6" s="45">
        <v>113.77</v>
      </c>
      <c r="AH6" s="45">
        <v>100.84</v>
      </c>
      <c r="AI6" s="45">
        <v>93.76</v>
      </c>
      <c r="AJ6" s="45">
        <v>84.62</v>
      </c>
      <c r="AK6" s="45">
        <v>86.61</v>
      </c>
      <c r="AL6" s="45">
        <v>84.43</v>
      </c>
      <c r="AM6" s="45">
        <v>76.45</v>
      </c>
      <c r="AN6" s="47"/>
      <c r="AO6" s="47"/>
      <c r="AP6" s="47"/>
      <c r="AQ6" s="47"/>
      <c r="AR6" s="47"/>
      <c r="AS6" s="47"/>
      <c r="AT6" s="47"/>
      <c r="AU6" s="47"/>
      <c r="AV6" s="47"/>
    </row>
    <row r="7" spans="1:48" x14ac:dyDescent="0.25">
      <c r="AF7" s="38"/>
      <c r="AG7" s="2"/>
      <c r="AH7" s="39"/>
    </row>
    <row r="8" spans="1:48" x14ac:dyDescent="0.25">
      <c r="AF8" s="38"/>
      <c r="AG8" s="2"/>
      <c r="AH8" s="40"/>
    </row>
    <row r="10" spans="1:48" x14ac:dyDescent="0.25">
      <c r="K10" s="28" t="s">
        <v>117</v>
      </c>
      <c r="L10" s="28" t="s">
        <v>0</v>
      </c>
      <c r="M10" s="28" t="s">
        <v>105</v>
      </c>
      <c r="N10" s="28" t="s">
        <v>143</v>
      </c>
      <c r="O10" s="28" t="s">
        <v>118</v>
      </c>
      <c r="P10" s="28" t="s">
        <v>119</v>
      </c>
      <c r="Q10" s="28" t="s">
        <v>120</v>
      </c>
      <c r="R10" s="28" t="s">
        <v>121</v>
      </c>
      <c r="S10" s="28" t="s">
        <v>122</v>
      </c>
      <c r="T10" s="28" t="s">
        <v>123</v>
      </c>
      <c r="U10" s="28" t="s">
        <v>124</v>
      </c>
      <c r="V10" s="28" t="s">
        <v>125</v>
      </c>
      <c r="W10" s="28" t="s">
        <v>126</v>
      </c>
      <c r="X10" s="28" t="s">
        <v>127</v>
      </c>
      <c r="Y10" s="28" t="s">
        <v>128</v>
      </c>
      <c r="Z10" s="28" t="s">
        <v>129</v>
      </c>
      <c r="AA10" s="28" t="s">
        <v>130</v>
      </c>
      <c r="AB10" s="28" t="s">
        <v>131</v>
      </c>
      <c r="AC10" s="28" t="s">
        <v>132</v>
      </c>
      <c r="AD10" s="28" t="s">
        <v>133</v>
      </c>
      <c r="AE10" s="28" t="s">
        <v>134</v>
      </c>
      <c r="AF10" s="28" t="s">
        <v>135</v>
      </c>
      <c r="AG10" s="28" t="s">
        <v>136</v>
      </c>
      <c r="AH10" s="28" t="s">
        <v>137</v>
      </c>
      <c r="AI10" s="28" t="s">
        <v>138</v>
      </c>
      <c r="AJ10" s="28" t="s">
        <v>139</v>
      </c>
      <c r="AK10" s="28" t="s">
        <v>140</v>
      </c>
      <c r="AL10" s="28" t="s">
        <v>141</v>
      </c>
      <c r="AM10" s="28" t="s">
        <v>142</v>
      </c>
    </row>
    <row r="11" spans="1:48" x14ac:dyDescent="0.25">
      <c r="K11" s="25" t="s">
        <v>27</v>
      </c>
      <c r="L11" s="25" t="s">
        <v>12</v>
      </c>
      <c r="M11" s="49" t="s">
        <v>50</v>
      </c>
      <c r="N11" s="48">
        <f>CORREL(O11:AM11,$O$6:$AM$6)</f>
        <v>0.52381096857061293</v>
      </c>
      <c r="O11" s="36">
        <v>146</v>
      </c>
      <c r="P11" s="36">
        <v>144.9</v>
      </c>
      <c r="Q11" s="36">
        <v>144.30000000000001</v>
      </c>
      <c r="R11" s="36">
        <v>144.1</v>
      </c>
      <c r="S11" s="36">
        <v>144.30000000000001</v>
      </c>
      <c r="T11" s="36">
        <v>146.30000000000001</v>
      </c>
      <c r="U11" s="36">
        <v>146.69999999999999</v>
      </c>
      <c r="V11" s="36">
        <v>146.4</v>
      </c>
      <c r="W11" s="36">
        <v>146.6</v>
      </c>
      <c r="X11" s="36">
        <v>146.6</v>
      </c>
      <c r="Y11" s="36">
        <v>147.4</v>
      </c>
      <c r="Z11" s="36">
        <v>148.19999999999999</v>
      </c>
      <c r="AA11" s="36">
        <v>148.69999999999999</v>
      </c>
      <c r="AB11" s="36">
        <v>149.5</v>
      </c>
      <c r="AC11" s="36">
        <v>150</v>
      </c>
      <c r="AD11" s="36">
        <v>151.30000000000001</v>
      </c>
      <c r="AE11" s="36">
        <v>152.9</v>
      </c>
      <c r="AF11" s="36">
        <v>154.1</v>
      </c>
      <c r="AG11" s="36">
        <v>155</v>
      </c>
      <c r="AH11" s="36">
        <v>156.5</v>
      </c>
      <c r="AI11" s="36">
        <v>160.30000000000001</v>
      </c>
      <c r="AJ11" s="36">
        <v>163.5</v>
      </c>
      <c r="AK11" s="36">
        <v>165.2</v>
      </c>
      <c r="AL11" s="36">
        <v>167.4</v>
      </c>
      <c r="AM11" s="36">
        <v>169.2</v>
      </c>
    </row>
    <row r="12" spans="1:48" x14ac:dyDescent="0.25">
      <c r="A12" s="21" t="s">
        <v>147</v>
      </c>
      <c r="K12" s="25" t="s">
        <v>28</v>
      </c>
      <c r="L12" s="25" t="s">
        <v>12</v>
      </c>
      <c r="M12" s="49" t="s">
        <v>50</v>
      </c>
      <c r="N12" s="48">
        <f t="shared" ref="N12:N36" si="0">CORREL(O12:AM12,$O$6:$AM$6)</f>
        <v>0.87105421376121195</v>
      </c>
      <c r="O12" s="36">
        <v>191</v>
      </c>
      <c r="P12" s="36">
        <v>190.1</v>
      </c>
      <c r="Q12" s="36">
        <v>186.5</v>
      </c>
      <c r="R12" s="36">
        <v>192.2</v>
      </c>
      <c r="S12" s="36">
        <v>198</v>
      </c>
      <c r="T12" s="36">
        <v>200.5</v>
      </c>
      <c r="U12" s="36">
        <v>202</v>
      </c>
      <c r="V12" s="36">
        <v>206.8</v>
      </c>
      <c r="W12" s="36">
        <v>204</v>
      </c>
      <c r="X12" s="36">
        <v>204</v>
      </c>
      <c r="Y12" s="36">
        <v>204.6</v>
      </c>
      <c r="Z12" s="36">
        <v>201.6</v>
      </c>
      <c r="AA12" s="36">
        <v>198.8</v>
      </c>
      <c r="AB12" s="36">
        <v>198.7</v>
      </c>
      <c r="AC12" s="36">
        <v>200.6</v>
      </c>
      <c r="AD12" s="36">
        <v>210.7</v>
      </c>
      <c r="AE12" s="36">
        <v>211.8</v>
      </c>
      <c r="AF12" s="36">
        <v>217</v>
      </c>
      <c r="AG12" s="36">
        <v>219.4</v>
      </c>
      <c r="AH12" s="36">
        <v>213</v>
      </c>
      <c r="AI12" s="36">
        <v>206.5</v>
      </c>
      <c r="AJ12" s="36">
        <v>209.2</v>
      </c>
      <c r="AK12" s="36">
        <v>210.9</v>
      </c>
      <c r="AL12" s="36">
        <v>209.4</v>
      </c>
      <c r="AM12" s="36">
        <v>209</v>
      </c>
    </row>
    <row r="13" spans="1:48" ht="15.75" x14ac:dyDescent="0.25">
      <c r="A13" s="65" t="s">
        <v>146</v>
      </c>
      <c r="B13" s="65"/>
      <c r="C13" s="65"/>
      <c r="D13" s="65"/>
      <c r="E13" s="65"/>
      <c r="F13" s="65"/>
      <c r="G13" s="65"/>
      <c r="H13" s="65"/>
      <c r="I13" s="65"/>
      <c r="K13" s="25" t="s">
        <v>29</v>
      </c>
      <c r="L13" s="25" t="s">
        <v>12</v>
      </c>
      <c r="M13" s="49" t="s">
        <v>50</v>
      </c>
      <c r="N13" s="48">
        <f t="shared" si="0"/>
        <v>-0.20964966352991271</v>
      </c>
      <c r="O13" s="36">
        <v>175.3</v>
      </c>
      <c r="P13" s="36">
        <v>175.3</v>
      </c>
      <c r="Q13" s="36">
        <v>168.7</v>
      </c>
      <c r="R13" s="36">
        <v>163.80000000000001</v>
      </c>
      <c r="S13" s="36">
        <v>164.6</v>
      </c>
      <c r="T13" s="36">
        <v>170.3</v>
      </c>
      <c r="U13" s="36">
        <v>180.7</v>
      </c>
      <c r="V13" s="36">
        <v>182.2</v>
      </c>
      <c r="W13" s="36">
        <v>172.8</v>
      </c>
      <c r="X13" s="36">
        <v>172.8</v>
      </c>
      <c r="Y13" s="36">
        <v>171.2</v>
      </c>
      <c r="Z13" s="36">
        <v>173</v>
      </c>
      <c r="AA13" s="36">
        <v>177.9</v>
      </c>
      <c r="AB13" s="36">
        <v>178.8</v>
      </c>
      <c r="AC13" s="36">
        <v>175.8</v>
      </c>
      <c r="AD13" s="36">
        <v>167.8</v>
      </c>
      <c r="AE13" s="36">
        <v>164.5</v>
      </c>
      <c r="AF13" s="36">
        <v>162.4</v>
      </c>
      <c r="AG13" s="36">
        <v>170.8</v>
      </c>
      <c r="AH13" s="36">
        <v>175.2</v>
      </c>
      <c r="AI13" s="36">
        <v>169.2</v>
      </c>
      <c r="AJ13" s="36">
        <v>169.7</v>
      </c>
      <c r="AK13" s="36">
        <v>170.9</v>
      </c>
      <c r="AL13" s="36">
        <v>181.4</v>
      </c>
      <c r="AM13" s="36">
        <v>190.2</v>
      </c>
    </row>
    <row r="14" spans="1:48" x14ac:dyDescent="0.25">
      <c r="K14" s="25" t="s">
        <v>30</v>
      </c>
      <c r="L14" s="25" t="s">
        <v>12</v>
      </c>
      <c r="M14" s="49" t="s">
        <v>50</v>
      </c>
      <c r="N14" s="48">
        <f t="shared" si="0"/>
        <v>0.66667864943569977</v>
      </c>
      <c r="O14" s="36">
        <v>154.1</v>
      </c>
      <c r="P14" s="36">
        <v>154.1</v>
      </c>
      <c r="Q14" s="36">
        <v>154.69999999999999</v>
      </c>
      <c r="R14" s="36">
        <v>154.9</v>
      </c>
      <c r="S14" s="36">
        <v>155.4</v>
      </c>
      <c r="T14" s="36">
        <v>156.1</v>
      </c>
      <c r="U14" s="36">
        <v>156.19999999999999</v>
      </c>
      <c r="V14" s="36">
        <v>157.5</v>
      </c>
      <c r="W14" s="36">
        <v>158.4</v>
      </c>
      <c r="X14" s="36">
        <v>158.4</v>
      </c>
      <c r="Y14" s="36">
        <v>158.69999999999999</v>
      </c>
      <c r="Z14" s="36">
        <v>159.30000000000001</v>
      </c>
      <c r="AA14" s="36">
        <v>159.9</v>
      </c>
      <c r="AB14" s="36">
        <v>160.5</v>
      </c>
      <c r="AC14" s="36">
        <v>160.69999999999999</v>
      </c>
      <c r="AD14" s="36">
        <v>162.19999999999999</v>
      </c>
      <c r="AE14" s="36">
        <v>163.9</v>
      </c>
      <c r="AF14" s="36">
        <v>164.9</v>
      </c>
      <c r="AG14" s="36">
        <v>165.8</v>
      </c>
      <c r="AH14" s="36">
        <v>166.6</v>
      </c>
      <c r="AI14" s="36">
        <v>168.1</v>
      </c>
      <c r="AJ14" s="36">
        <v>169.7</v>
      </c>
      <c r="AK14" s="36">
        <v>170.9</v>
      </c>
      <c r="AL14" s="36">
        <v>172.3</v>
      </c>
      <c r="AM14" s="36">
        <v>173.6</v>
      </c>
    </row>
    <row r="15" spans="1:48" x14ac:dyDescent="0.25">
      <c r="K15" s="25" t="s">
        <v>31</v>
      </c>
      <c r="L15" s="25" t="s">
        <v>12</v>
      </c>
      <c r="M15" s="49" t="s">
        <v>50</v>
      </c>
      <c r="N15" s="48">
        <f t="shared" si="0"/>
        <v>0.86380034319654264</v>
      </c>
      <c r="O15" s="36">
        <v>146.6</v>
      </c>
      <c r="P15" s="36">
        <v>150.9</v>
      </c>
      <c r="Q15" s="36">
        <v>158.69999999999999</v>
      </c>
      <c r="R15" s="36">
        <v>163.9</v>
      </c>
      <c r="S15" s="36">
        <v>170.1</v>
      </c>
      <c r="T15" s="36">
        <v>178.7</v>
      </c>
      <c r="U15" s="36">
        <v>183.7</v>
      </c>
      <c r="V15" s="36">
        <v>182.1</v>
      </c>
      <c r="W15" s="36">
        <v>188</v>
      </c>
      <c r="X15" s="36">
        <v>188</v>
      </c>
      <c r="Y15" s="36">
        <v>190.6</v>
      </c>
      <c r="Z15" s="36">
        <v>190.1</v>
      </c>
      <c r="AA15" s="36">
        <v>187.6</v>
      </c>
      <c r="AB15" s="36">
        <v>184.7</v>
      </c>
      <c r="AC15" s="36">
        <v>184.9</v>
      </c>
      <c r="AD15" s="36">
        <v>194.6</v>
      </c>
      <c r="AE15" s="36">
        <v>199.5</v>
      </c>
      <c r="AF15" s="36">
        <v>202.4</v>
      </c>
      <c r="AG15" s="36">
        <v>200.9</v>
      </c>
      <c r="AH15" s="36">
        <v>195.8</v>
      </c>
      <c r="AI15" s="36">
        <v>192.4</v>
      </c>
      <c r="AJ15" s="36">
        <v>188.7</v>
      </c>
      <c r="AK15" s="36">
        <v>186.5</v>
      </c>
      <c r="AL15" s="36">
        <v>188.9</v>
      </c>
      <c r="AM15" s="36">
        <v>188.5</v>
      </c>
    </row>
    <row r="16" spans="1:48" x14ac:dyDescent="0.25">
      <c r="K16" s="25" t="s">
        <v>32</v>
      </c>
      <c r="L16" s="25" t="s">
        <v>12</v>
      </c>
      <c r="M16" s="49" t="s">
        <v>50</v>
      </c>
      <c r="N16" s="48">
        <f t="shared" si="0"/>
        <v>0.66297628228740679</v>
      </c>
      <c r="O16" s="36">
        <v>147.69999999999999</v>
      </c>
      <c r="P16" s="36">
        <v>149.6</v>
      </c>
      <c r="Q16" s="36">
        <v>150.69999999999999</v>
      </c>
      <c r="R16" s="36">
        <v>153.69999999999999</v>
      </c>
      <c r="S16" s="36">
        <v>164.4</v>
      </c>
      <c r="T16" s="36">
        <v>167.1</v>
      </c>
      <c r="U16" s="36">
        <v>164.6</v>
      </c>
      <c r="V16" s="36">
        <v>163.9</v>
      </c>
      <c r="W16" s="36">
        <v>156.80000000000001</v>
      </c>
      <c r="X16" s="36">
        <v>156.69999999999999</v>
      </c>
      <c r="Y16" s="36">
        <v>155.69999999999999</v>
      </c>
      <c r="Z16" s="36">
        <v>156.5</v>
      </c>
      <c r="AA16" s="36">
        <v>154.9</v>
      </c>
      <c r="AB16" s="36">
        <v>153.69999999999999</v>
      </c>
      <c r="AC16" s="36">
        <v>153.69999999999999</v>
      </c>
      <c r="AD16" s="36">
        <v>157.6</v>
      </c>
      <c r="AE16" s="36">
        <v>172.6</v>
      </c>
      <c r="AF16" s="36">
        <v>171</v>
      </c>
      <c r="AG16" s="36">
        <v>169.7</v>
      </c>
      <c r="AH16" s="36">
        <v>174.2</v>
      </c>
      <c r="AI16" s="36">
        <v>172.9</v>
      </c>
      <c r="AJ16" s="36">
        <v>165.7</v>
      </c>
      <c r="AK16" s="36">
        <v>163.80000000000001</v>
      </c>
      <c r="AL16" s="36">
        <v>160.69999999999999</v>
      </c>
      <c r="AM16" s="36">
        <v>158</v>
      </c>
    </row>
    <row r="17" spans="11:39" x14ac:dyDescent="0.25">
      <c r="K17" s="25" t="s">
        <v>33</v>
      </c>
      <c r="L17" s="25" t="s">
        <v>12</v>
      </c>
      <c r="M17" s="49" t="s">
        <v>50</v>
      </c>
      <c r="N17" s="48">
        <f t="shared" si="0"/>
        <v>2.1900967995140321E-2</v>
      </c>
      <c r="O17" s="36">
        <v>230.5</v>
      </c>
      <c r="P17" s="36">
        <v>194.2</v>
      </c>
      <c r="Q17" s="36">
        <v>160</v>
      </c>
      <c r="R17" s="36">
        <v>149.5</v>
      </c>
      <c r="S17" s="36">
        <v>144.1</v>
      </c>
      <c r="T17" s="36">
        <v>147.9</v>
      </c>
      <c r="U17" s="36">
        <v>155.4</v>
      </c>
      <c r="V17" s="36">
        <v>164.2</v>
      </c>
      <c r="W17" s="36">
        <v>162.19999999999999</v>
      </c>
      <c r="X17" s="36">
        <v>162.30000000000001</v>
      </c>
      <c r="Y17" s="36">
        <v>185.3</v>
      </c>
      <c r="Z17" s="36">
        <v>199.2</v>
      </c>
      <c r="AA17" s="36">
        <v>188.3</v>
      </c>
      <c r="AB17" s="36">
        <v>174.3</v>
      </c>
      <c r="AC17" s="36">
        <v>169.7</v>
      </c>
      <c r="AD17" s="36">
        <v>166.9</v>
      </c>
      <c r="AE17" s="36">
        <v>166.2</v>
      </c>
      <c r="AF17" s="36">
        <v>174.9</v>
      </c>
      <c r="AG17" s="36">
        <v>182.3</v>
      </c>
      <c r="AH17" s="36">
        <v>182.1</v>
      </c>
      <c r="AI17" s="36">
        <v>186.7</v>
      </c>
      <c r="AJ17" s="36">
        <v>191.8</v>
      </c>
      <c r="AK17" s="36">
        <v>199.7</v>
      </c>
      <c r="AL17" s="36">
        <v>183.1</v>
      </c>
      <c r="AM17" s="36">
        <v>159.9</v>
      </c>
    </row>
    <row r="18" spans="11:39" x14ac:dyDescent="0.25">
      <c r="K18" s="25" t="s">
        <v>34</v>
      </c>
      <c r="L18" s="25" t="s">
        <v>12</v>
      </c>
      <c r="M18" s="49" t="s">
        <v>50</v>
      </c>
      <c r="N18" s="48">
        <f t="shared" si="0"/>
        <v>0.43922162553806271</v>
      </c>
      <c r="O18" s="36">
        <v>160.19999999999999</v>
      </c>
      <c r="P18" s="36">
        <v>160.4</v>
      </c>
      <c r="Q18" s="36">
        <v>158.80000000000001</v>
      </c>
      <c r="R18" s="36">
        <v>159.80000000000001</v>
      </c>
      <c r="S18" s="36">
        <v>161.69999999999999</v>
      </c>
      <c r="T18" s="36">
        <v>165.4</v>
      </c>
      <c r="U18" s="36">
        <v>166</v>
      </c>
      <c r="V18" s="36">
        <v>164</v>
      </c>
      <c r="W18" s="36">
        <v>164.1</v>
      </c>
      <c r="X18" s="36">
        <v>164.1</v>
      </c>
      <c r="Y18" s="36">
        <v>165.2</v>
      </c>
      <c r="Z18" s="36">
        <v>165.3</v>
      </c>
      <c r="AA18" s="36">
        <v>164.4</v>
      </c>
      <c r="AB18" s="36">
        <v>163.9</v>
      </c>
      <c r="AC18" s="36">
        <v>163.69999999999999</v>
      </c>
      <c r="AD18" s="36">
        <v>163.9</v>
      </c>
      <c r="AE18" s="36">
        <v>164.7</v>
      </c>
      <c r="AF18" s="36">
        <v>164.7</v>
      </c>
      <c r="AG18" s="36">
        <v>164.3</v>
      </c>
      <c r="AH18" s="36">
        <v>164.3</v>
      </c>
      <c r="AI18" s="36">
        <v>167.2</v>
      </c>
      <c r="AJ18" s="36">
        <v>169.1</v>
      </c>
      <c r="AK18" s="36">
        <v>169.8</v>
      </c>
      <c r="AL18" s="36">
        <v>170.5</v>
      </c>
      <c r="AM18" s="36">
        <v>170.8</v>
      </c>
    </row>
    <row r="19" spans="11:39" x14ac:dyDescent="0.25">
      <c r="K19" s="25" t="s">
        <v>35</v>
      </c>
      <c r="L19" s="25" t="s">
        <v>12</v>
      </c>
      <c r="M19" s="49" t="s">
        <v>50</v>
      </c>
      <c r="N19" s="48">
        <f t="shared" si="0"/>
        <v>0.58882537867353768</v>
      </c>
      <c r="O19" s="36">
        <v>115.3</v>
      </c>
      <c r="P19" s="36">
        <v>114.6</v>
      </c>
      <c r="Q19" s="36">
        <v>112.8</v>
      </c>
      <c r="R19" s="36">
        <v>112.6</v>
      </c>
      <c r="S19" s="36">
        <v>113.1</v>
      </c>
      <c r="T19" s="36">
        <v>114.8</v>
      </c>
      <c r="U19" s="36">
        <v>115.1</v>
      </c>
      <c r="V19" s="36">
        <v>114.5</v>
      </c>
      <c r="W19" s="36">
        <v>119.7</v>
      </c>
      <c r="X19" s="36">
        <v>119.7</v>
      </c>
      <c r="Y19" s="36">
        <v>121.9</v>
      </c>
      <c r="Z19" s="36">
        <v>122.4</v>
      </c>
      <c r="AA19" s="36">
        <v>121</v>
      </c>
      <c r="AB19" s="36">
        <v>120</v>
      </c>
      <c r="AC19" s="36">
        <v>118.9</v>
      </c>
      <c r="AD19" s="36">
        <v>118.8</v>
      </c>
      <c r="AE19" s="36">
        <v>119</v>
      </c>
      <c r="AF19" s="36">
        <v>119.7</v>
      </c>
      <c r="AG19" s="36">
        <v>119.9</v>
      </c>
      <c r="AH19" s="36">
        <v>120</v>
      </c>
      <c r="AI19" s="36">
        <v>120.9</v>
      </c>
      <c r="AJ19" s="36">
        <v>121.6</v>
      </c>
      <c r="AK19" s="36">
        <v>121.9</v>
      </c>
      <c r="AL19" s="36">
        <v>122.1</v>
      </c>
      <c r="AM19" s="36">
        <v>121.8</v>
      </c>
    </row>
    <row r="20" spans="11:39" x14ac:dyDescent="0.25">
      <c r="K20" s="25" t="s">
        <v>36</v>
      </c>
      <c r="L20" s="25" t="s">
        <v>12</v>
      </c>
      <c r="M20" s="49" t="s">
        <v>50</v>
      </c>
      <c r="N20" s="48">
        <f t="shared" si="0"/>
        <v>0.61759350006107083</v>
      </c>
      <c r="O20" s="36">
        <v>163</v>
      </c>
      <c r="P20" s="36">
        <v>164</v>
      </c>
      <c r="Q20" s="36">
        <v>164.2</v>
      </c>
      <c r="R20" s="36">
        <v>163.5</v>
      </c>
      <c r="S20" s="36">
        <v>163.9</v>
      </c>
      <c r="T20" s="36">
        <v>168.2</v>
      </c>
      <c r="U20" s="36">
        <v>168.5</v>
      </c>
      <c r="V20" s="36">
        <v>168.3</v>
      </c>
      <c r="W20" s="36">
        <v>168.8</v>
      </c>
      <c r="X20" s="36">
        <v>168.8</v>
      </c>
      <c r="Y20" s="36">
        <v>169.3</v>
      </c>
      <c r="Z20" s="36">
        <v>169.6</v>
      </c>
      <c r="AA20" s="36">
        <v>170.5</v>
      </c>
      <c r="AB20" s="36">
        <v>172.1</v>
      </c>
      <c r="AC20" s="36">
        <v>174.3</v>
      </c>
      <c r="AD20" s="36">
        <v>177.4</v>
      </c>
      <c r="AE20" s="36">
        <v>181.3</v>
      </c>
      <c r="AF20" s="36">
        <v>184.9</v>
      </c>
      <c r="AG20" s="36">
        <v>187.1</v>
      </c>
      <c r="AH20" s="36">
        <v>190</v>
      </c>
      <c r="AI20" s="36">
        <v>193.6</v>
      </c>
      <c r="AJ20" s="36">
        <v>197.3</v>
      </c>
      <c r="AK20" s="36">
        <v>199.9</v>
      </c>
      <c r="AL20" s="36">
        <v>202.8</v>
      </c>
      <c r="AM20" s="36">
        <v>205.2</v>
      </c>
    </row>
    <row r="21" spans="11:39" x14ac:dyDescent="0.25">
      <c r="K21" s="25" t="s">
        <v>37</v>
      </c>
      <c r="L21" s="25" t="s">
        <v>12</v>
      </c>
      <c r="M21" s="49" t="s">
        <v>51</v>
      </c>
      <c r="N21" s="48">
        <f t="shared" si="0"/>
        <v>0.79666987486999996</v>
      </c>
      <c r="O21" s="36">
        <v>149.19999999999999</v>
      </c>
      <c r="P21" s="36">
        <v>151.80000000000001</v>
      </c>
      <c r="Q21" s="36">
        <v>155.5</v>
      </c>
      <c r="R21" s="36">
        <v>156.5</v>
      </c>
      <c r="S21" s="36">
        <v>157.6</v>
      </c>
      <c r="T21" s="36">
        <v>159.30000000000001</v>
      </c>
      <c r="U21" s="36">
        <v>160</v>
      </c>
      <c r="V21" s="36">
        <v>160.9</v>
      </c>
      <c r="W21" s="36">
        <v>162.69999999999999</v>
      </c>
      <c r="X21" s="36">
        <v>162.69999999999999</v>
      </c>
      <c r="Y21" s="36">
        <v>163.19999999999999</v>
      </c>
      <c r="Z21" s="36">
        <v>163.69999999999999</v>
      </c>
      <c r="AA21" s="36">
        <v>164.2</v>
      </c>
      <c r="AB21" s="36">
        <v>164.3</v>
      </c>
      <c r="AC21" s="36">
        <v>164.7</v>
      </c>
      <c r="AD21" s="36">
        <v>165.3</v>
      </c>
      <c r="AE21" s="36">
        <v>166.2</v>
      </c>
      <c r="AF21" s="36">
        <v>167.1</v>
      </c>
      <c r="AG21" s="36">
        <v>167.9</v>
      </c>
      <c r="AH21" s="36">
        <v>168.4</v>
      </c>
      <c r="AI21" s="36">
        <v>168.8</v>
      </c>
      <c r="AJ21" s="36">
        <v>169.4</v>
      </c>
      <c r="AK21" s="36">
        <v>169.9</v>
      </c>
      <c r="AL21" s="36">
        <v>170.4</v>
      </c>
      <c r="AM21" s="36">
        <v>171</v>
      </c>
    </row>
    <row r="22" spans="11:39" x14ac:dyDescent="0.25">
      <c r="K22" s="25" t="s">
        <v>38</v>
      </c>
      <c r="L22" s="25" t="s">
        <v>12</v>
      </c>
      <c r="M22" s="49" t="s">
        <v>50</v>
      </c>
      <c r="N22" s="48">
        <f t="shared" si="0"/>
        <v>0.75510458737906061</v>
      </c>
      <c r="O22" s="36">
        <v>164.8</v>
      </c>
      <c r="P22" s="36">
        <v>165.6</v>
      </c>
      <c r="Q22" s="36">
        <v>167.5</v>
      </c>
      <c r="R22" s="36">
        <v>168.2</v>
      </c>
      <c r="S22" s="36">
        <v>168.9</v>
      </c>
      <c r="T22" s="36">
        <v>170.4</v>
      </c>
      <c r="U22" s="36">
        <v>172.4</v>
      </c>
      <c r="V22" s="36">
        <v>172.2</v>
      </c>
      <c r="W22" s="36">
        <v>173.9</v>
      </c>
      <c r="X22" s="36">
        <v>173.9</v>
      </c>
      <c r="Y22" s="36">
        <v>174.7</v>
      </c>
      <c r="Z22" s="36">
        <v>175.5</v>
      </c>
      <c r="AA22" s="36">
        <v>176.5</v>
      </c>
      <c r="AB22" s="36">
        <v>177.3</v>
      </c>
      <c r="AC22" s="36">
        <v>178</v>
      </c>
      <c r="AD22" s="36">
        <v>179.3</v>
      </c>
      <c r="AE22" s="36">
        <v>180.9</v>
      </c>
      <c r="AF22" s="36">
        <v>182.5</v>
      </c>
      <c r="AG22" s="36">
        <v>183.9</v>
      </c>
      <c r="AH22" s="36">
        <v>185.2</v>
      </c>
      <c r="AI22" s="36">
        <v>186.3</v>
      </c>
      <c r="AJ22" s="36">
        <v>187.4</v>
      </c>
      <c r="AK22" s="36">
        <v>188.3</v>
      </c>
      <c r="AL22" s="36">
        <v>189.5</v>
      </c>
      <c r="AM22" s="36">
        <v>190.3</v>
      </c>
    </row>
    <row r="23" spans="11:39" x14ac:dyDescent="0.25">
      <c r="K23" s="25" t="s">
        <v>3</v>
      </c>
      <c r="L23" s="25" t="s">
        <v>12</v>
      </c>
      <c r="M23" s="49" t="s">
        <v>50</v>
      </c>
      <c r="N23" s="48">
        <f t="shared" si="0"/>
        <v>0.69075350873681807</v>
      </c>
      <c r="O23" s="36">
        <v>165.4</v>
      </c>
      <c r="P23" s="36">
        <v>161</v>
      </c>
      <c r="Q23" s="36">
        <v>156.9</v>
      </c>
      <c r="R23" s="36">
        <v>156.69999999999999</v>
      </c>
      <c r="S23" s="36">
        <v>158</v>
      </c>
      <c r="T23" s="36">
        <v>160.69999999999999</v>
      </c>
      <c r="U23" s="36">
        <v>162.6</v>
      </c>
      <c r="V23" s="36">
        <v>164</v>
      </c>
      <c r="W23" s="36">
        <v>164</v>
      </c>
      <c r="X23" s="36">
        <v>164</v>
      </c>
      <c r="Y23" s="36">
        <v>167.7</v>
      </c>
      <c r="Z23" s="36">
        <v>169.7</v>
      </c>
      <c r="AA23" s="36">
        <v>168.2</v>
      </c>
      <c r="AB23" s="36">
        <v>166.4</v>
      </c>
      <c r="AC23" s="36">
        <v>166.2</v>
      </c>
      <c r="AD23" s="36">
        <v>168.4</v>
      </c>
      <c r="AE23" s="36">
        <v>170.8</v>
      </c>
      <c r="AF23" s="36">
        <v>173.3</v>
      </c>
      <c r="AG23" s="36">
        <v>174.9</v>
      </c>
      <c r="AH23" s="36">
        <v>175</v>
      </c>
      <c r="AI23" s="36">
        <v>176.3</v>
      </c>
      <c r="AJ23" s="36">
        <v>177.8</v>
      </c>
      <c r="AK23" s="36">
        <v>179.6</v>
      </c>
      <c r="AL23" s="36">
        <v>178.3</v>
      </c>
      <c r="AM23" s="36">
        <v>175.9</v>
      </c>
    </row>
    <row r="24" spans="11:39" x14ac:dyDescent="0.25">
      <c r="K24" s="25" t="s">
        <v>4</v>
      </c>
      <c r="L24" s="25" t="s">
        <v>12</v>
      </c>
      <c r="M24" s="49" t="s">
        <v>51</v>
      </c>
      <c r="N24" s="48">
        <f t="shared" si="0"/>
        <v>0.74454151956613368</v>
      </c>
      <c r="O24" s="36">
        <v>185.4</v>
      </c>
      <c r="P24" s="36">
        <v>186.5</v>
      </c>
      <c r="Q24" s="36">
        <v>188.3</v>
      </c>
      <c r="R24" s="36">
        <v>188.1</v>
      </c>
      <c r="S24" s="36">
        <v>188.8</v>
      </c>
      <c r="T24" s="36">
        <v>191.9</v>
      </c>
      <c r="U24" s="36">
        <v>190.8</v>
      </c>
      <c r="V24" s="36">
        <v>191.2</v>
      </c>
      <c r="W24" s="36">
        <v>192.1</v>
      </c>
      <c r="X24" s="36">
        <v>192.1</v>
      </c>
      <c r="Y24" s="36">
        <v>192.7</v>
      </c>
      <c r="Z24" s="36">
        <v>192.9</v>
      </c>
      <c r="AA24" s="36">
        <v>192.4</v>
      </c>
      <c r="AB24" s="36">
        <v>192.2</v>
      </c>
      <c r="AC24" s="36">
        <v>192.8</v>
      </c>
      <c r="AD24" s="36">
        <v>193.7</v>
      </c>
      <c r="AE24" s="36">
        <v>193.9</v>
      </c>
      <c r="AF24" s="36">
        <v>194.1</v>
      </c>
      <c r="AG24" s="36">
        <v>194.3</v>
      </c>
      <c r="AH24" s="36">
        <v>194.6</v>
      </c>
      <c r="AI24" s="36">
        <v>195</v>
      </c>
      <c r="AJ24" s="36">
        <v>195.9</v>
      </c>
      <c r="AK24" s="36">
        <v>196.3</v>
      </c>
      <c r="AL24" s="36">
        <v>196.9</v>
      </c>
      <c r="AM24" s="36">
        <v>197.3</v>
      </c>
    </row>
    <row r="25" spans="11:39" x14ac:dyDescent="0.25">
      <c r="K25" s="25" t="s">
        <v>39</v>
      </c>
      <c r="L25" s="25" t="s">
        <v>12</v>
      </c>
      <c r="M25" s="49" t="s">
        <v>39</v>
      </c>
      <c r="N25" s="48">
        <f t="shared" si="0"/>
        <v>0.76917753121031607</v>
      </c>
      <c r="O25" s="36">
        <v>155</v>
      </c>
      <c r="P25" s="36">
        <v>155.5</v>
      </c>
      <c r="Q25" s="36">
        <v>157.19999999999999</v>
      </c>
      <c r="R25" s="36">
        <v>157.80000000000001</v>
      </c>
      <c r="S25" s="36">
        <v>158.80000000000001</v>
      </c>
      <c r="T25" s="36">
        <v>161.80000000000001</v>
      </c>
      <c r="U25" s="36">
        <v>162.19999999999999</v>
      </c>
      <c r="V25" s="36">
        <v>162.80000000000001</v>
      </c>
      <c r="W25" s="36">
        <v>164.5</v>
      </c>
      <c r="X25" s="36">
        <v>164.6</v>
      </c>
      <c r="Y25" s="36">
        <v>165.7</v>
      </c>
      <c r="Z25" s="36">
        <v>167.2</v>
      </c>
      <c r="AA25" s="36">
        <v>168.5</v>
      </c>
      <c r="AB25" s="36">
        <v>169.9</v>
      </c>
      <c r="AC25" s="36">
        <v>170.8</v>
      </c>
      <c r="AD25" s="36">
        <v>172.1</v>
      </c>
      <c r="AE25" s="36">
        <v>173.9</v>
      </c>
      <c r="AF25" s="36">
        <v>175.6</v>
      </c>
      <c r="AG25" s="36">
        <v>177.1</v>
      </c>
      <c r="AH25" s="36">
        <v>178.3</v>
      </c>
      <c r="AI25" s="36">
        <v>179.5</v>
      </c>
      <c r="AJ25" s="36">
        <v>180.9</v>
      </c>
      <c r="AK25" s="36">
        <v>181.9</v>
      </c>
      <c r="AL25" s="36">
        <v>183.1</v>
      </c>
      <c r="AM25" s="36">
        <v>184</v>
      </c>
    </row>
    <row r="26" spans="11:39" x14ac:dyDescent="0.25">
      <c r="K26" s="25" t="s">
        <v>40</v>
      </c>
      <c r="L26" s="25" t="s">
        <v>12</v>
      </c>
      <c r="M26" s="49" t="s">
        <v>39</v>
      </c>
      <c r="N26" s="48">
        <f t="shared" si="0"/>
        <v>0.77557413193868696</v>
      </c>
      <c r="O26" s="36">
        <v>145.4</v>
      </c>
      <c r="P26" s="36">
        <v>146.1</v>
      </c>
      <c r="Q26" s="36">
        <v>147.4</v>
      </c>
      <c r="R26" s="36">
        <v>147.9</v>
      </c>
      <c r="S26" s="36">
        <v>148.5</v>
      </c>
      <c r="T26" s="36">
        <v>152.1</v>
      </c>
      <c r="U26" s="36">
        <v>151.80000000000001</v>
      </c>
      <c r="V26" s="36">
        <v>153.1</v>
      </c>
      <c r="W26" s="36">
        <v>155.30000000000001</v>
      </c>
      <c r="X26" s="36">
        <v>155.30000000000001</v>
      </c>
      <c r="Y26" s="36">
        <v>156.30000000000001</v>
      </c>
      <c r="Z26" s="36">
        <v>157.4</v>
      </c>
      <c r="AA26" s="36">
        <v>158.69999999999999</v>
      </c>
      <c r="AB26" s="36">
        <v>160.69999999999999</v>
      </c>
      <c r="AC26" s="36">
        <v>162.4</v>
      </c>
      <c r="AD26" s="36">
        <v>164.6</v>
      </c>
      <c r="AE26" s="36">
        <v>166.5</v>
      </c>
      <c r="AF26" s="36">
        <v>168.4</v>
      </c>
      <c r="AG26" s="36">
        <v>169.9</v>
      </c>
      <c r="AH26" s="36">
        <v>171.3</v>
      </c>
      <c r="AI26" s="36">
        <v>172.7</v>
      </c>
      <c r="AJ26" s="36">
        <v>174.3</v>
      </c>
      <c r="AK26" s="36">
        <v>175.3</v>
      </c>
      <c r="AL26" s="36">
        <v>176.2</v>
      </c>
      <c r="AM26" s="36">
        <v>177</v>
      </c>
    </row>
    <row r="27" spans="11:39" x14ac:dyDescent="0.25">
      <c r="K27" s="25" t="s">
        <v>5</v>
      </c>
      <c r="L27" s="25" t="s">
        <v>12</v>
      </c>
      <c r="M27" s="49" t="s">
        <v>39</v>
      </c>
      <c r="N27" s="48">
        <f t="shared" si="0"/>
        <v>0.77047874928196036</v>
      </c>
      <c r="O27" s="36">
        <v>153.6</v>
      </c>
      <c r="P27" s="36">
        <v>154.19999999999999</v>
      </c>
      <c r="Q27" s="36">
        <v>155.80000000000001</v>
      </c>
      <c r="R27" s="36">
        <v>156.4</v>
      </c>
      <c r="S27" s="36">
        <v>157.30000000000001</v>
      </c>
      <c r="T27" s="36">
        <v>160.4</v>
      </c>
      <c r="U27" s="36">
        <v>160.69999999999999</v>
      </c>
      <c r="V27" s="36">
        <v>161.4</v>
      </c>
      <c r="W27" s="36">
        <v>163.19999999999999</v>
      </c>
      <c r="X27" s="36">
        <v>163.30000000000001</v>
      </c>
      <c r="Y27" s="36">
        <v>164.3</v>
      </c>
      <c r="Z27" s="36">
        <v>165.8</v>
      </c>
      <c r="AA27" s="36">
        <v>167</v>
      </c>
      <c r="AB27" s="36">
        <v>168.5</v>
      </c>
      <c r="AC27" s="36">
        <v>169.6</v>
      </c>
      <c r="AD27" s="36">
        <v>171.1</v>
      </c>
      <c r="AE27" s="36">
        <v>172.8</v>
      </c>
      <c r="AF27" s="36">
        <v>174.6</v>
      </c>
      <c r="AG27" s="36">
        <v>176</v>
      </c>
      <c r="AH27" s="36">
        <v>177.3</v>
      </c>
      <c r="AI27" s="36">
        <v>178.5</v>
      </c>
      <c r="AJ27" s="36">
        <v>179.9</v>
      </c>
      <c r="AK27" s="36">
        <v>181</v>
      </c>
      <c r="AL27" s="36">
        <v>182.1</v>
      </c>
      <c r="AM27" s="36">
        <v>183</v>
      </c>
    </row>
    <row r="28" spans="11:39" x14ac:dyDescent="0.25">
      <c r="K28" s="25" t="s">
        <v>41</v>
      </c>
      <c r="L28" s="25" t="s">
        <v>12</v>
      </c>
      <c r="M28" s="49" t="s">
        <v>41</v>
      </c>
      <c r="N28" s="48">
        <f t="shared" si="0"/>
        <v>0.7340297779513717</v>
      </c>
      <c r="O28" s="36">
        <v>158.4</v>
      </c>
      <c r="P28" s="36">
        <v>157.69999999999999</v>
      </c>
      <c r="Q28" s="36">
        <v>159.80000000000001</v>
      </c>
      <c r="R28" s="36">
        <v>159.9</v>
      </c>
      <c r="S28" s="36">
        <v>161.4</v>
      </c>
      <c r="T28" s="36">
        <v>161.6</v>
      </c>
      <c r="U28" s="36">
        <v>160.5</v>
      </c>
      <c r="V28" s="36">
        <v>161.5</v>
      </c>
      <c r="W28" s="36">
        <v>162.1</v>
      </c>
      <c r="X28" s="36">
        <v>162.1</v>
      </c>
      <c r="Y28" s="36">
        <v>163.6</v>
      </c>
      <c r="Z28" s="36">
        <v>164.2</v>
      </c>
      <c r="AA28" s="36">
        <v>163.4</v>
      </c>
      <c r="AB28" s="36">
        <v>164.5</v>
      </c>
      <c r="AC28" s="36">
        <v>165.5</v>
      </c>
      <c r="AD28" s="36">
        <v>165.3</v>
      </c>
      <c r="AE28" s="36">
        <v>167</v>
      </c>
      <c r="AF28" s="36">
        <v>167.5</v>
      </c>
      <c r="AG28" s="36">
        <v>166.8</v>
      </c>
      <c r="AH28" s="36">
        <v>167.8</v>
      </c>
      <c r="AI28" s="36">
        <v>169</v>
      </c>
      <c r="AJ28" s="36">
        <v>169.5</v>
      </c>
      <c r="AK28" s="36">
        <v>171.2</v>
      </c>
      <c r="AL28" s="36">
        <v>171.8</v>
      </c>
      <c r="AM28" s="36">
        <v>170.7</v>
      </c>
    </row>
    <row r="29" spans="11:39" x14ac:dyDescent="0.25">
      <c r="K29" s="25" t="s">
        <v>7</v>
      </c>
      <c r="L29" s="25" t="s">
        <v>12</v>
      </c>
      <c r="M29" s="49" t="s">
        <v>54</v>
      </c>
      <c r="N29" s="48">
        <f t="shared" si="0"/>
        <v>0.78213296040533598</v>
      </c>
      <c r="O29" s="36">
        <v>144.6</v>
      </c>
      <c r="P29" s="36">
        <v>147.9</v>
      </c>
      <c r="Q29" s="36">
        <v>152.4</v>
      </c>
      <c r="R29" s="36">
        <v>155.5</v>
      </c>
      <c r="S29" s="36">
        <v>155.6</v>
      </c>
      <c r="T29" s="36">
        <v>159.4</v>
      </c>
      <c r="U29" s="36">
        <v>159.80000000000001</v>
      </c>
      <c r="V29" s="36">
        <v>160.69999999999999</v>
      </c>
      <c r="W29" s="36">
        <v>162.6</v>
      </c>
      <c r="X29" s="36">
        <v>162.6</v>
      </c>
      <c r="Y29" s="36">
        <v>164.2</v>
      </c>
      <c r="Z29" s="36">
        <v>163.9</v>
      </c>
      <c r="AA29" s="36">
        <v>164.1</v>
      </c>
      <c r="AB29" s="36">
        <v>164.2</v>
      </c>
      <c r="AC29" s="36">
        <v>165.7</v>
      </c>
      <c r="AD29" s="36">
        <v>167.2</v>
      </c>
      <c r="AE29" s="36">
        <v>172.2</v>
      </c>
      <c r="AF29" s="36">
        <v>174.6</v>
      </c>
      <c r="AG29" s="36">
        <v>176</v>
      </c>
      <c r="AH29" s="36">
        <v>179.6</v>
      </c>
      <c r="AI29" s="36">
        <v>178.8</v>
      </c>
      <c r="AJ29" s="36">
        <v>179.5</v>
      </c>
      <c r="AK29" s="36">
        <v>180.5</v>
      </c>
      <c r="AL29" s="36">
        <v>181.3</v>
      </c>
      <c r="AM29" s="36">
        <v>182</v>
      </c>
    </row>
    <row r="30" spans="11:39" x14ac:dyDescent="0.25">
      <c r="K30" s="25" t="s">
        <v>6</v>
      </c>
      <c r="L30" s="25" t="s">
        <v>12</v>
      </c>
      <c r="M30" s="49" t="s">
        <v>41</v>
      </c>
      <c r="N30" s="48">
        <f t="shared" si="0"/>
        <v>0.76204977669416796</v>
      </c>
      <c r="O30" s="36">
        <v>149.69999999999999</v>
      </c>
      <c r="P30" s="36">
        <v>150</v>
      </c>
      <c r="Q30" s="36">
        <v>150.9</v>
      </c>
      <c r="R30" s="36">
        <v>151.19999999999999</v>
      </c>
      <c r="S30" s="36">
        <v>151.80000000000001</v>
      </c>
      <c r="T30" s="36">
        <v>154.69999999999999</v>
      </c>
      <c r="U30" s="36">
        <v>154.80000000000001</v>
      </c>
      <c r="V30" s="36">
        <v>155.80000000000001</v>
      </c>
      <c r="W30" s="36">
        <v>157.5</v>
      </c>
      <c r="X30" s="36">
        <v>157.5</v>
      </c>
      <c r="Y30" s="36">
        <v>158.4</v>
      </c>
      <c r="Z30" s="36">
        <v>159.30000000000001</v>
      </c>
      <c r="AA30" s="36">
        <v>160.19999999999999</v>
      </c>
      <c r="AB30" s="36">
        <v>161.1</v>
      </c>
      <c r="AC30" s="36">
        <v>161.80000000000001</v>
      </c>
      <c r="AD30" s="36">
        <v>162.80000000000001</v>
      </c>
      <c r="AE30" s="36">
        <v>164</v>
      </c>
      <c r="AF30" s="36">
        <v>165.2</v>
      </c>
      <c r="AG30" s="36">
        <v>166.4</v>
      </c>
      <c r="AH30" s="36">
        <v>167.4</v>
      </c>
      <c r="AI30" s="36">
        <v>168.5</v>
      </c>
      <c r="AJ30" s="36">
        <v>169.5</v>
      </c>
      <c r="AK30" s="36">
        <v>170.4</v>
      </c>
      <c r="AL30" s="36">
        <v>171.4</v>
      </c>
      <c r="AM30" s="36">
        <v>172.1</v>
      </c>
    </row>
    <row r="31" spans="11:39" x14ac:dyDescent="0.25">
      <c r="K31" s="25" t="s">
        <v>42</v>
      </c>
      <c r="L31" s="25" t="s">
        <v>12</v>
      </c>
      <c r="M31" s="49" t="s">
        <v>144</v>
      </c>
      <c r="N31" s="48">
        <f t="shared" si="0"/>
        <v>0.78032990526625812</v>
      </c>
      <c r="O31" s="36">
        <v>158.30000000000001</v>
      </c>
      <c r="P31" s="36">
        <v>159.30000000000001</v>
      </c>
      <c r="Q31" s="36">
        <v>161.30000000000001</v>
      </c>
      <c r="R31" s="36">
        <v>161.69999999999999</v>
      </c>
      <c r="S31" s="36">
        <v>162.30000000000001</v>
      </c>
      <c r="T31" s="36">
        <v>165.8</v>
      </c>
      <c r="U31" s="36">
        <v>166.3</v>
      </c>
      <c r="V31" s="36">
        <v>167</v>
      </c>
      <c r="W31" s="36">
        <v>168.4</v>
      </c>
      <c r="X31" s="36">
        <v>168.4</v>
      </c>
      <c r="Y31" s="36">
        <v>169.1</v>
      </c>
      <c r="Z31" s="36">
        <v>169.9</v>
      </c>
      <c r="AA31" s="36">
        <v>170.6</v>
      </c>
      <c r="AB31" s="36">
        <v>171.4</v>
      </c>
      <c r="AC31" s="36">
        <v>172.2</v>
      </c>
      <c r="AD31" s="36">
        <v>173</v>
      </c>
      <c r="AE31" s="36">
        <v>174</v>
      </c>
      <c r="AF31" s="36">
        <v>174.8</v>
      </c>
      <c r="AG31" s="36">
        <v>175.4</v>
      </c>
      <c r="AH31" s="36">
        <v>176.1</v>
      </c>
      <c r="AI31" s="36">
        <v>176.8</v>
      </c>
      <c r="AJ31" s="36">
        <v>177.8</v>
      </c>
      <c r="AK31" s="36">
        <v>178.7</v>
      </c>
      <c r="AL31" s="36">
        <v>179.8</v>
      </c>
      <c r="AM31" s="36">
        <v>181.1</v>
      </c>
    </row>
    <row r="32" spans="11:39" x14ac:dyDescent="0.25">
      <c r="K32" s="25" t="s">
        <v>43</v>
      </c>
      <c r="L32" s="25" t="s">
        <v>12</v>
      </c>
      <c r="M32" s="49" t="s">
        <v>144</v>
      </c>
      <c r="N32" s="48">
        <f t="shared" si="0"/>
        <v>0.85287792828787801</v>
      </c>
      <c r="O32" s="36">
        <v>140.69999999999999</v>
      </c>
      <c r="P32" s="36">
        <v>141.9</v>
      </c>
      <c r="Q32" s="36">
        <v>145.1</v>
      </c>
      <c r="R32" s="36">
        <v>146.19999999999999</v>
      </c>
      <c r="S32" s="36">
        <v>146.6</v>
      </c>
      <c r="T32" s="36">
        <v>148.9</v>
      </c>
      <c r="U32" s="36">
        <v>150.69999999999999</v>
      </c>
      <c r="V32" s="36">
        <v>153.1</v>
      </c>
      <c r="W32" s="36">
        <v>154</v>
      </c>
      <c r="X32" s="36">
        <v>154</v>
      </c>
      <c r="Y32" s="36">
        <v>155.69999999999999</v>
      </c>
      <c r="Z32" s="36">
        <v>154.80000000000001</v>
      </c>
      <c r="AA32" s="36">
        <v>155.69999999999999</v>
      </c>
      <c r="AB32" s="36">
        <v>156.5</v>
      </c>
      <c r="AC32" s="36">
        <v>156.9</v>
      </c>
      <c r="AD32" s="36">
        <v>157.9</v>
      </c>
      <c r="AE32" s="36">
        <v>162.6</v>
      </c>
      <c r="AF32" s="36">
        <v>163</v>
      </c>
      <c r="AG32" s="36">
        <v>161.1</v>
      </c>
      <c r="AH32" s="36">
        <v>161.6</v>
      </c>
      <c r="AI32" s="36">
        <v>161.9</v>
      </c>
      <c r="AJ32" s="36">
        <v>162.30000000000001</v>
      </c>
      <c r="AK32" s="36">
        <v>162.9</v>
      </c>
      <c r="AL32" s="36">
        <v>163</v>
      </c>
      <c r="AM32" s="36">
        <v>163.4</v>
      </c>
    </row>
    <row r="33" spans="11:39" x14ac:dyDescent="0.25">
      <c r="K33" s="25" t="s">
        <v>44</v>
      </c>
      <c r="L33" s="25" t="s">
        <v>12</v>
      </c>
      <c r="M33" s="49" t="s">
        <v>144</v>
      </c>
      <c r="N33" s="48">
        <f t="shared" si="0"/>
        <v>0.81877189513144932</v>
      </c>
      <c r="O33" s="36">
        <v>148.5</v>
      </c>
      <c r="P33" s="36">
        <v>149.6</v>
      </c>
      <c r="Q33" s="36">
        <v>151.5</v>
      </c>
      <c r="R33" s="36">
        <v>152.6</v>
      </c>
      <c r="S33" s="36">
        <v>153.19999999999999</v>
      </c>
      <c r="T33" s="36">
        <v>155.80000000000001</v>
      </c>
      <c r="U33" s="36">
        <v>154.9</v>
      </c>
      <c r="V33" s="36">
        <v>155.30000000000001</v>
      </c>
      <c r="W33" s="36">
        <v>157.6</v>
      </c>
      <c r="X33" s="36">
        <v>157.69999999999999</v>
      </c>
      <c r="Y33" s="36">
        <v>158.6</v>
      </c>
      <c r="Z33" s="36">
        <v>159.80000000000001</v>
      </c>
      <c r="AA33" s="36">
        <v>160.6</v>
      </c>
      <c r="AB33" s="36">
        <v>161.19999999999999</v>
      </c>
      <c r="AC33" s="36">
        <v>162.1</v>
      </c>
      <c r="AD33" s="36">
        <v>163.30000000000001</v>
      </c>
      <c r="AE33" s="36">
        <v>164.4</v>
      </c>
      <c r="AF33" s="36">
        <v>165.1</v>
      </c>
      <c r="AG33" s="36">
        <v>165.8</v>
      </c>
      <c r="AH33" s="36">
        <v>166.3</v>
      </c>
      <c r="AI33" s="36">
        <v>166.9</v>
      </c>
      <c r="AJ33" s="36">
        <v>167.6</v>
      </c>
      <c r="AK33" s="36">
        <v>168.2</v>
      </c>
      <c r="AL33" s="36">
        <v>168.5</v>
      </c>
      <c r="AM33" s="36">
        <v>168.9</v>
      </c>
    </row>
    <row r="34" spans="11:39" x14ac:dyDescent="0.25">
      <c r="K34" s="25" t="s">
        <v>45</v>
      </c>
      <c r="L34" s="25" t="s">
        <v>12</v>
      </c>
      <c r="M34" s="49" t="s">
        <v>144</v>
      </c>
      <c r="N34" s="48">
        <f t="shared" si="0"/>
        <v>0.68134379753637364</v>
      </c>
      <c r="O34" s="36">
        <v>159.4</v>
      </c>
      <c r="P34" s="36">
        <v>159.19999999999999</v>
      </c>
      <c r="Q34" s="36">
        <v>159.5</v>
      </c>
      <c r="R34" s="36">
        <v>160.19999999999999</v>
      </c>
      <c r="S34" s="36">
        <v>160.30000000000001</v>
      </c>
      <c r="T34" s="36">
        <v>161.19999999999999</v>
      </c>
      <c r="U34" s="36">
        <v>161.69999999999999</v>
      </c>
      <c r="V34" s="36">
        <v>163.19999999999999</v>
      </c>
      <c r="W34" s="36">
        <v>163.80000000000001</v>
      </c>
      <c r="X34" s="36">
        <v>163.69999999999999</v>
      </c>
      <c r="Y34" s="36">
        <v>163.9</v>
      </c>
      <c r="Z34" s="36">
        <v>164.3</v>
      </c>
      <c r="AA34" s="36">
        <v>164.4</v>
      </c>
      <c r="AB34" s="36">
        <v>164.7</v>
      </c>
      <c r="AC34" s="36">
        <v>165.4</v>
      </c>
      <c r="AD34" s="36">
        <v>166</v>
      </c>
      <c r="AE34" s="36">
        <v>166.9</v>
      </c>
      <c r="AF34" s="36">
        <v>167.9</v>
      </c>
      <c r="AG34" s="36">
        <v>169</v>
      </c>
      <c r="AH34" s="36">
        <v>171.4</v>
      </c>
      <c r="AI34" s="36">
        <v>172.3</v>
      </c>
      <c r="AJ34" s="36">
        <v>173.1</v>
      </c>
      <c r="AK34" s="36">
        <v>173.4</v>
      </c>
      <c r="AL34" s="36">
        <v>173.7</v>
      </c>
      <c r="AM34" s="36">
        <v>174.1</v>
      </c>
    </row>
    <row r="35" spans="11:39" x14ac:dyDescent="0.25">
      <c r="K35" s="25" t="s">
        <v>46</v>
      </c>
      <c r="L35" s="25" t="s">
        <v>12</v>
      </c>
      <c r="M35" s="49" t="s">
        <v>144</v>
      </c>
      <c r="N35" s="48">
        <f t="shared" si="0"/>
        <v>0.74987920850250978</v>
      </c>
      <c r="O35" s="36">
        <v>157.1</v>
      </c>
      <c r="P35" s="36">
        <v>156.80000000000001</v>
      </c>
      <c r="Q35" s="36">
        <v>155.80000000000001</v>
      </c>
      <c r="R35" s="36">
        <v>153.80000000000001</v>
      </c>
      <c r="S35" s="36">
        <v>155.4</v>
      </c>
      <c r="T35" s="36">
        <v>158.6</v>
      </c>
      <c r="U35" s="36">
        <v>158.80000000000001</v>
      </c>
      <c r="V35" s="36">
        <v>160.1</v>
      </c>
      <c r="W35" s="36">
        <v>160</v>
      </c>
      <c r="X35" s="36">
        <v>160</v>
      </c>
      <c r="Y35" s="36">
        <v>160.80000000000001</v>
      </c>
      <c r="Z35" s="36">
        <v>162.19999999999999</v>
      </c>
      <c r="AA35" s="36">
        <v>162.6</v>
      </c>
      <c r="AB35" s="36">
        <v>163</v>
      </c>
      <c r="AC35" s="36">
        <v>164.4</v>
      </c>
      <c r="AD35" s="36">
        <v>167.2</v>
      </c>
      <c r="AE35" s="36">
        <v>168.8</v>
      </c>
      <c r="AF35" s="36">
        <v>168.4</v>
      </c>
      <c r="AG35" s="36">
        <v>169.4</v>
      </c>
      <c r="AH35" s="36">
        <v>169.7</v>
      </c>
      <c r="AI35" s="36">
        <v>171.2</v>
      </c>
      <c r="AJ35" s="36">
        <v>170.9</v>
      </c>
      <c r="AK35" s="36">
        <v>172.1</v>
      </c>
      <c r="AL35" s="36">
        <v>173.6</v>
      </c>
      <c r="AM35" s="36">
        <v>175.8</v>
      </c>
    </row>
    <row r="36" spans="11:39" x14ac:dyDescent="0.25">
      <c r="K36" s="25" t="s">
        <v>8</v>
      </c>
      <c r="L36" s="25" t="s">
        <v>12</v>
      </c>
      <c r="M36" s="49" t="s">
        <v>145</v>
      </c>
      <c r="N36" s="48">
        <f t="shared" si="0"/>
        <v>0.80154487399277474</v>
      </c>
      <c r="O36" s="36">
        <v>151.19999999999999</v>
      </c>
      <c r="P36" s="36">
        <v>151.9</v>
      </c>
      <c r="Q36" s="36">
        <v>153.4</v>
      </c>
      <c r="R36" s="36">
        <v>153.80000000000001</v>
      </c>
      <c r="S36" s="36">
        <v>154.4</v>
      </c>
      <c r="T36" s="36">
        <v>156.80000000000001</v>
      </c>
      <c r="U36" s="36">
        <v>157.6</v>
      </c>
      <c r="V36" s="36">
        <v>159</v>
      </c>
      <c r="W36" s="36">
        <v>160</v>
      </c>
      <c r="X36" s="36">
        <v>160</v>
      </c>
      <c r="Y36" s="36">
        <v>161</v>
      </c>
      <c r="Z36" s="36">
        <v>161.4</v>
      </c>
      <c r="AA36" s="36">
        <v>162</v>
      </c>
      <c r="AB36" s="36">
        <v>162.69999999999999</v>
      </c>
      <c r="AC36" s="36">
        <v>163.5</v>
      </c>
      <c r="AD36" s="36">
        <v>164.6</v>
      </c>
      <c r="AE36" s="36">
        <v>166.8</v>
      </c>
      <c r="AF36" s="36">
        <v>167.5</v>
      </c>
      <c r="AG36" s="36">
        <v>167.5</v>
      </c>
      <c r="AH36" s="36">
        <v>168.4</v>
      </c>
      <c r="AI36" s="36">
        <v>169.1</v>
      </c>
      <c r="AJ36" s="36">
        <v>169.7</v>
      </c>
      <c r="AK36" s="36">
        <v>170.5</v>
      </c>
      <c r="AL36" s="36">
        <v>171.1</v>
      </c>
      <c r="AM36" s="36">
        <v>172</v>
      </c>
    </row>
  </sheetData>
  <mergeCells count="1">
    <mergeCell ref="A13:I13"/>
  </mergeCells>
  <conditionalFormatting sqref="N11:N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A8509-513D-4F62-BE25-C452905B53D3}">
  <dimension ref="B1:E22"/>
  <sheetViews>
    <sheetView tabSelected="1" zoomScale="86" workbookViewId="0">
      <selection activeCell="C18" sqref="C18"/>
    </sheetView>
  </sheetViews>
  <sheetFormatPr defaultRowHeight="15" x14ac:dyDescent="0.25"/>
  <cols>
    <col min="2" max="2" width="9.85546875" style="59" customWidth="1"/>
    <col min="3" max="3" width="13.5703125" style="1" bestFit="1" customWidth="1"/>
    <col min="4" max="4" width="13.5703125" style="1" customWidth="1"/>
  </cols>
  <sheetData>
    <row r="1" spans="2:4" x14ac:dyDescent="0.25">
      <c r="B1" s="61" t="s">
        <v>1</v>
      </c>
      <c r="C1" s="62" t="s">
        <v>149</v>
      </c>
      <c r="D1" s="62" t="s">
        <v>62</v>
      </c>
    </row>
    <row r="2" spans="2:4" x14ac:dyDescent="0.25">
      <c r="B2" s="60">
        <v>2013</v>
      </c>
      <c r="C2" s="50">
        <v>114.5</v>
      </c>
      <c r="D2" s="50" t="e">
        <f>((C2-C1)/C1)*100</f>
        <v>#VALUE!</v>
      </c>
    </row>
    <row r="3" spans="2:4" x14ac:dyDescent="0.25">
      <c r="B3" s="60">
        <v>2014</v>
      </c>
      <c r="C3" s="50">
        <v>119.4</v>
      </c>
      <c r="D3" s="11">
        <f t="shared" ref="D3:D12" si="0">((C3-C2)/C2)*100</f>
        <v>4.2794759825327562</v>
      </c>
    </row>
    <row r="4" spans="2:4" x14ac:dyDescent="0.25">
      <c r="B4" s="60">
        <v>2015</v>
      </c>
      <c r="C4" s="50">
        <v>126.1</v>
      </c>
      <c r="D4" s="11">
        <f t="shared" si="0"/>
        <v>5.6113902847571087</v>
      </c>
    </row>
    <row r="5" spans="2:4" x14ac:dyDescent="0.25">
      <c r="B5" s="60">
        <v>2016</v>
      </c>
      <c r="C5" s="50">
        <v>130.4</v>
      </c>
      <c r="D5" s="11">
        <f t="shared" si="0"/>
        <v>3.4099920697858934</v>
      </c>
    </row>
    <row r="6" spans="2:4" x14ac:dyDescent="0.25">
      <c r="B6" s="60">
        <v>2017</v>
      </c>
      <c r="C6" s="50">
        <v>137.19999999999999</v>
      </c>
      <c r="D6" s="11">
        <f t="shared" si="0"/>
        <v>5.2147239263803549</v>
      </c>
    </row>
    <row r="7" spans="2:4" x14ac:dyDescent="0.25">
      <c r="B7" s="60">
        <v>2018</v>
      </c>
      <c r="C7" s="50">
        <v>140.1</v>
      </c>
      <c r="D7" s="11">
        <f t="shared" si="0"/>
        <v>2.1137026239067098</v>
      </c>
    </row>
    <row r="8" spans="2:4" x14ac:dyDescent="0.25">
      <c r="B8" s="60">
        <v>2019</v>
      </c>
      <c r="C8" s="50">
        <v>150.4</v>
      </c>
      <c r="D8" s="11">
        <f t="shared" si="0"/>
        <v>7.3518915060671031</v>
      </c>
    </row>
    <row r="9" spans="2:4" x14ac:dyDescent="0.25">
      <c r="B9" s="60">
        <v>2020</v>
      </c>
      <c r="C9" s="50">
        <v>158.9</v>
      </c>
      <c r="D9" s="11">
        <f t="shared" si="0"/>
        <v>5.6515957446808507</v>
      </c>
    </row>
    <row r="10" spans="2:4" x14ac:dyDescent="0.25">
      <c r="B10" s="60">
        <v>2021</v>
      </c>
      <c r="C10" s="50">
        <v>166.2</v>
      </c>
      <c r="D10" s="11">
        <f t="shared" si="0"/>
        <v>4.5940843297671385</v>
      </c>
    </row>
    <row r="11" spans="2:4" x14ac:dyDescent="0.25">
      <c r="B11" s="60">
        <v>2022</v>
      </c>
      <c r="C11" s="50">
        <v>175.7</v>
      </c>
      <c r="D11" s="11">
        <f t="shared" si="0"/>
        <v>5.7160048134777384</v>
      </c>
    </row>
    <row r="12" spans="2:4" x14ac:dyDescent="0.25">
      <c r="B12" s="60">
        <v>2023</v>
      </c>
      <c r="C12" s="50" t="e">
        <v>#N/A</v>
      </c>
      <c r="D12" s="50" t="e">
        <f t="shared" si="0"/>
        <v>#N/A</v>
      </c>
    </row>
    <row r="22" spans="5:5" x14ac:dyDescent="0.25">
      <c r="E22" t="s">
        <v>150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</vt:lpstr>
      <vt:lpstr>Main Data</vt:lpstr>
      <vt:lpstr>Question 1</vt:lpstr>
      <vt:lpstr>Question 2</vt:lpstr>
      <vt:lpstr>Question 3</vt:lpstr>
      <vt:lpstr>Question 4</vt:lpstr>
      <vt:lpstr>Question 5</vt:lpstr>
      <vt:lpstr>Insight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AmitKumar</dc:creator>
  <cp:lastModifiedBy>Amit |</cp:lastModifiedBy>
  <cp:lastPrinted>2025-11-13T06:47:13Z</cp:lastPrinted>
  <dcterms:created xsi:type="dcterms:W3CDTF">2025-10-07T15:02:23Z</dcterms:created>
  <dcterms:modified xsi:type="dcterms:W3CDTF">2026-02-22T14:08:12Z</dcterms:modified>
</cp:coreProperties>
</file>